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Comps" sheetId="3" state="visible" r:id="rId5"/>
    <sheet name="WACC" sheetId="4" state="visible" r:id="rId6"/>
    <sheet name="DCF" sheetId="5" state="visible" r:id="rId7"/>
    <sheet name="LBO" sheetId="6" state="visible" r:id="rId8"/>
    <sheet name="Football Field" sheetId="7" state="visible" r:id="rId9"/>
    <sheet name="Buyer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<sst xmlns="http://schemas.openxmlformats.org/spreadsheetml/2006/main" count="241" uniqueCount="200">
  <si>
    <t xml:space="preserve">Project Harvest: Demo Target Co. (synthetic)</t>
  </si>
  <si>
    <t xml:space="preserve">Preliminary valuation model (illustrative, educational)</t>
  </si>
  <si>
    <t xml:space="preserve">Source: SYNTHETIC DEMO DATA</t>
  </si>
  <si>
    <t xml:space="preserve">Inputs</t>
  </si>
  <si>
    <t xml:space="preserve">Market data and all assumptions (blue cells)</t>
  </si>
  <si>
    <t xml:space="preserve">Comps</t>
  </si>
  <si>
    <t xml:space="preserve">Trading comparables with live multiple and quartile formulas</t>
  </si>
  <si>
    <t xml:space="preserve">WACC</t>
  </si>
  <si>
    <t xml:space="preserve">Beta unlevering/relevering and cost of capital build</t>
  </si>
  <si>
    <t xml:space="preserve">DCF</t>
  </si>
  <si>
    <t xml:space="preserve">5-year projections, perpetuity and exit valuation, live sensitivity grids</t>
  </si>
  <si>
    <t xml:space="preserve">LBO</t>
  </si>
  <si>
    <t xml:space="preserve">Sponsor ability-to-pay: entry price input, debt schedule, IRR</t>
  </si>
  <si>
    <t xml:space="preserve">Football Field</t>
  </si>
  <si>
    <t xml:space="preserve">Valuation summary and chart</t>
  </si>
  <si>
    <t xml:space="preserve">Colour code</t>
  </si>
  <si>
    <t xml:space="preserve">Blue = hard-coded input</t>
  </si>
  <si>
    <t xml:space="preserve">Black = formula</t>
  </si>
  <si>
    <t xml:space="preserve">Green = link to another sheet</t>
  </si>
  <si>
    <t xml:space="preserve">Inputs &amp; assumptions</t>
  </si>
  <si>
    <t xml:space="preserve">Target market data ($mm, except per share)</t>
  </si>
  <si>
    <t xml:space="preserve">Share price</t>
  </si>
  <si>
    <t xml:space="preserve">Diluted shares (mm)</t>
  </si>
  <si>
    <t xml:space="preserve">Total debt</t>
  </si>
  <si>
    <t xml:space="preserve">Cash &amp; equivalents</t>
  </si>
  <si>
    <t xml:space="preserve">Minority interest</t>
  </si>
  <si>
    <t xml:space="preserve">LTM revenue</t>
  </si>
  <si>
    <t xml:space="preserve">LTM EBITDA</t>
  </si>
  <si>
    <t xml:space="preserve">NTM EPS (consensus)</t>
  </si>
  <si>
    <t xml:space="preserve">Market capitalisation</t>
  </si>
  <si>
    <t xml:space="preserve">Enterprise value</t>
  </si>
  <si>
    <t xml:space="preserve">Valuation assumptions</t>
  </si>
  <si>
    <t xml:space="preserve">Risk-free rate</t>
  </si>
  <si>
    <t xml:space="preserve">Equity risk premium</t>
  </si>
  <si>
    <t xml:space="preserve">Tax rate</t>
  </si>
  <si>
    <t xml:space="preserve">Terminal growth</t>
  </si>
  <si>
    <t xml:space="preserve">Exit multiple (EV/EBITDA)</t>
  </si>
  <si>
    <t xml:space="preserve">Pre-tax cost of debt (synthetic rating)</t>
  </si>
  <si>
    <t xml:space="preserve">LBO assumptions</t>
  </si>
  <si>
    <t xml:space="preserve">Entry leverage (x LTM EBITDA)</t>
  </si>
  <si>
    <t xml:space="preserve">Cost of debt</t>
  </si>
  <si>
    <t xml:space="preserve">Transaction fees (% EV)</t>
  </si>
  <si>
    <t xml:space="preserve">Offer price per share (solved at target IRR)</t>
  </si>
  <si>
    <t xml:space="preserve">Operating drivers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</si>
  <si>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</si>
  <si>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</si>
  <si>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</si>
  <si>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</si>
  <si>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</si>
  <si>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</t>
  </si>
  <si>
    <t xml:space="preserve">EBITDA margin</t>
  </si>
  <si>
    <t xml:space="preserve">D&amp;A % revenue</t>
  </si>
  <si>
    <t xml:space="preserve">Capex % revenue</t>
  </si>
  <si>
    <t xml:space="preserve">NWC % incr. revenue</t>
  </si>
  <si>
    <t xml:space="preserve">Base year revenue (FY2025A)</t>
  </si>
  <si>
    <t xml:space="preserve">Trading comparables ($mm, except per share)</t>
  </si>
  <si>
    <t xml:space="preserve">Ticker</t>
  </si>
  <si>
    <t xml:space="preserve">Company</t>
  </si>
  <si>
    <t xml:space="preserve">Price</t>
  </si>
  <si>
    <t xml:space="preserve">Shares</t>
  </si>
  <si>
    <t xml:space="preserve">Debt</t>
  </si>
  <si>
    <t xml:space="preserve">Cash</t>
  </si>
  <si>
    <t xml:space="preserve">Minority</t>
  </si>
  <si>
    <t xml:space="preserve">Revenue LTM</t>
  </si>
  <si>
    <t xml:space="preserve">EBITDA LTM</t>
  </si>
  <si>
    <t xml:space="preserve">EPS LTM</t>
  </si>
  <si>
    <t xml:space="preserve">EPS NTM</t>
  </si>
  <si>
    <t xml:space="preserve">Mkt cap</t>
  </si>
  <si>
    <t xml:space="preserve">EV</t>
  </si>
  <si>
    <t xml:space="preserve">EV/Rev</t>
  </si>
  <si>
    <t xml:space="preserve">EV/EBITDA</t>
  </si>
  <si>
    <t xml:space="preserve">P/E LTM</t>
  </si>
  <si>
    <t xml:space="preserve">P/E NTM</t>
  </si>
  <si>
    <t xml:space="preserve">PEER-A.DEMO</t>
  </si>
  <si>
    <t xml:space="preserve">Peer-A Corp. (synthetic)</t>
  </si>
  <si>
    <t xml:space="preserve">PEER-B.DEMO</t>
  </si>
  <si>
    <t xml:space="preserve">Peer-B Corp. (synthetic)</t>
  </si>
  <si>
    <t xml:space="preserve">PEER-C.DEMO</t>
  </si>
  <si>
    <t xml:space="preserve">Peer-C Corp. (synthetic)</t>
  </si>
  <si>
    <t xml:space="preserve">PEER-D.DEMO</t>
  </si>
  <si>
    <t xml:space="preserve">Peer-D Corp. (synthetic)</t>
  </si>
  <si>
    <t xml:space="preserve">PEER-E.DEMO</t>
  </si>
  <si>
    <t xml:space="preserve">Peer-E Corp. (synthetic)</t>
  </si>
  <si>
    <t xml:space="preserve">PEER-F.DEMO</t>
  </si>
  <si>
    <t xml:space="preserve">Peer-F Corp. (synthetic)</t>
  </si>
  <si>
    <t xml:space="preserve">PEER-G.DEMO</t>
  </si>
  <si>
    <t xml:space="preserve">Peer-G Corp. (synthetic)</t>
  </si>
  <si>
    <t xml:space="preserve">Mean</t>
  </si>
  <si>
    <t xml:space="preserve">Median</t>
  </si>
  <si>
    <t xml:space="preserve">25th percentile</t>
  </si>
  <si>
    <t xml:space="preserve">75th percentile</t>
  </si>
  <si>
    <t xml:space="preserve">Implied value per share</t>
  </si>
  <si>
    <t xml:space="preserve">Low (25th)</t>
  </si>
  <si>
    <t xml:space="preserve">High (75th)</t>
  </si>
  <si>
    <t xml:space="preserve">EV / LTM EBITDA</t>
  </si>
  <si>
    <t xml:space="preserve">P / NTM EPS</t>
  </si>
  <si>
    <t xml:space="preserve">Cost of capital</t>
  </si>
  <si>
    <t xml:space="preserve">Peer</t>
  </si>
  <si>
    <t xml:space="preserve">Adj. beta (Blume)</t>
  </si>
  <si>
    <t xml:space="preserve">D/E</t>
  </si>
  <si>
    <t xml:space="preserve">Unlevered beta</t>
  </si>
  <si>
    <t xml:space="preserve">Median unlevered beta</t>
  </si>
  <si>
    <t xml:space="preserve">Target D/E (market)</t>
  </si>
  <si>
    <t xml:space="preserve">Relevered beta</t>
  </si>
  <si>
    <t xml:space="preserve">Cost of equity</t>
  </si>
  <si>
    <t xml:space="preserve">Pre-tax cost of debt</t>
  </si>
  <si>
    <t xml:space="preserve">After-tax cost of debt</t>
  </si>
  <si>
    <t xml:space="preserve">Equity weight E/(D+E)</t>
  </si>
  <si>
    <t xml:space="preserve">Regression betas (raw): 2y weekly 0.68 (R² 0.28), 5y monthly 0.71 (R² 0.32)</t>
  </si>
  <si>
    <t xml:space="preserve">Synthetic rating A from interest coverage 5.3x (Damodaran table, approximate spreads)</t>
  </si>
  <si>
    <t xml:space="preserve">Discounted cash flow ($mm)</t>
  </si>
  <si>
    <t xml:space="preserve">FY2025A</t>
  </si>
  <si>
    <t xml:space="preserve">Period (mid-year)</t>
  </si>
  <si>
    <t xml:space="preserve">Revenue</t>
  </si>
  <si>
    <t xml:space="preserve">% growth</t>
  </si>
  <si>
    <t xml:space="preserve">EBITDA</t>
  </si>
  <si>
    <t xml:space="preserve">% margin</t>
  </si>
  <si>
    <t xml:space="preserve">D&amp;A</t>
  </si>
  <si>
    <t xml:space="preserve">EBIT</t>
  </si>
  <si>
    <t xml:space="preserve">Taxes</t>
  </si>
  <si>
    <t xml:space="preserve">NOPAT</t>
  </si>
  <si>
    <t xml:space="preserve">(+) D&amp;A</t>
  </si>
  <si>
    <t xml:space="preserve">(-) Capex</t>
  </si>
  <si>
    <t xml:space="preserve">(-) Change in NWC</t>
  </si>
  <si>
    <t xml:space="preserve">Unlevered FCF</t>
  </si>
  <si>
    <t xml:space="preserve">Discount factor</t>
  </si>
  <si>
    <t xml:space="preserve">PV of FCF</t>
  </si>
  <si>
    <t xml:space="preserve">Valuation</t>
  </si>
  <si>
    <t xml:space="preserve">Perpetuity</t>
  </si>
  <si>
    <t xml:space="preserve">Exit multiple</t>
  </si>
  <si>
    <t xml:space="preserve">Terminal growth / exit multiple</t>
  </si>
  <si>
    <t xml:space="preserve">Sum of PV of FCF</t>
  </si>
  <si>
    <t xml:space="preserve">Terminal value</t>
  </si>
  <si>
    <t xml:space="preserve">PV of terminal value</t>
  </si>
  <si>
    <t xml:space="preserve">(-) Net debt &amp; minority</t>
  </si>
  <si>
    <t xml:space="preserve">Equity value</t>
  </si>
  <si>
    <t xml:space="preserve">Value per share</t>
  </si>
  <si>
    <t xml:space="preserve">TV as % of EV</t>
  </si>
  <si>
    <t xml:space="preserve">Implied exit multiple / growth</t>
  </si>
  <si>
    <t xml:space="preserve">Value per share: WACC vs terminal growth</t>
  </si>
  <si>
    <t xml:space="preserve">WACC ↓ / terminal growth →</t>
  </si>
  <si>
    <t xml:space="preserve">Value per share: WACC vs exit multiple</t>
  </si>
  <si>
    <t xml:space="preserve">WACC ↓ / exit multiple →</t>
  </si>
  <si>
    <t xml:space="preserve">LBO ability-to-pay ($mm)</t>
  </si>
  <si>
    <t xml:space="preserve">Change the offer price on the Inputs sheet (or Goal Seek IRR) to test other prices.</t>
  </si>
  <si>
    <t xml:space="preserve">Offer price per share</t>
  </si>
  <si>
    <t xml:space="preserve">Equity purchase price</t>
  </si>
  <si>
    <t xml:space="preserve">(+) Net debt &amp; minority refinanced</t>
  </si>
  <si>
    <t xml:space="preserve">Entry enterprise value</t>
  </si>
  <si>
    <t xml:space="preserve">Entry EV / LTM EBITDA</t>
  </si>
  <si>
    <t xml:space="preserve">Transaction fees</t>
  </si>
  <si>
    <t xml:space="preserve">New debt raised</t>
  </si>
  <si>
    <t xml:space="preserve">Sponsor equity</t>
  </si>
  <si>
    <t xml:space="preserve">Premium to current price</t>
  </si>
  <si>
    <t xml:space="preserve">Entry</t>
  </si>
  <si>
    <t xml:space="preserve">Interest</t>
  </si>
  <si>
    <t xml:space="preserve">Capex</t>
  </si>
  <si>
    <t xml:space="preserve">Change in NWC</t>
  </si>
  <si>
    <t xml:space="preserve">Levered FCF</t>
  </si>
  <si>
    <t xml:space="preserve">Debt repayment</t>
  </si>
  <si>
    <t xml:space="preserve">Debt (end)</t>
  </si>
  <si>
    <t xml:space="preserve">Cash (end)</t>
  </si>
  <si>
    <t xml:space="preserve">Net debt / EBITDA</t>
  </si>
  <si>
    <t xml:space="preserve">Exit EV (exit multiple x exit EBITDA)</t>
  </si>
  <si>
    <t xml:space="preserve">(-) Debt</t>
  </si>
  <si>
    <t xml:space="preserve">(+) Cash</t>
  </si>
  <si>
    <t xml:space="preserve">Exit equity value</t>
  </si>
  <si>
    <t xml:space="preserve">MOIC</t>
  </si>
  <si>
    <t xml:space="preserve">IRR</t>
  </si>
  <si>
    <t xml:space="preserve">Valuation summary: value per share</t>
  </si>
  <si>
    <t xml:space="preserve">Methodology</t>
  </si>
  <si>
    <t xml:space="preserve">Low</t>
  </si>
  <si>
    <t xml:space="preserve">High</t>
  </si>
  <si>
    <t xml:space="preserve">Spread</t>
  </si>
  <si>
    <t xml:space="preserve">52-week trading range</t>
  </si>
  <si>
    <t xml:space="preserve">Analyst price targets</t>
  </si>
  <si>
    <t xml:space="preserve">Precedent transactions</t>
  </si>
  <si>
    <t xml:space="preserve">Premiums paid</t>
  </si>
  <si>
    <t xml:space="preserve">DCF – perpetuity growth</t>
  </si>
  <si>
    <t xml:space="preserve">DCF – exit multiple</t>
  </si>
  <si>
    <t xml:space="preserve">LBO (20–25% IRR)</t>
  </si>
  <si>
    <t xml:space="preserve">Current share price</t>
  </si>
  <si>
    <t xml:space="preserve">Potential strategic acquirers</t>
  </si>
  <si>
    <t xml:space="preserve">Mkt cap ($mm)</t>
  </si>
  <si>
    <t xml:space="preserve">Deal size / buyer mkt cap</t>
  </si>
  <si>
    <t xml:space="preserve">PF leverage (all-debt)</t>
  </si>
  <si>
    <t xml:space="preserve">Buyer P/E NTM</t>
  </si>
  <si>
    <t xml:space="preserve">All-cash feasible</t>
  </si>
  <si>
    <t xml:space="preserve">All-stock EPS</t>
  </si>
  <si>
    <t xml:space="preserve">BUY-B.DEMO</t>
  </si>
  <si>
    <t xml:space="preserve">Buy-B Corp. (synthetic)</t>
  </si>
  <si>
    <t xml:space="preserve">Yes</t>
  </si>
  <si>
    <t xml:space="preserve">Dilutive</t>
  </si>
  <si>
    <t xml:space="preserve">BUY-A.DEMO</t>
  </si>
  <si>
    <t xml:space="preserve">Buy-A Corp. (synthetic)</t>
  </si>
  <si>
    <t xml:space="preserve">Stretch</t>
  </si>
  <si>
    <t xml:space="preserve">BUY-D.DEMO</t>
  </si>
  <si>
    <t xml:space="preserve">Buy-D Corp. (synthetic)</t>
  </si>
  <si>
    <t xml:space="preserve">BUY-C.DEMO</t>
  </si>
  <si>
    <t xml:space="preserve">Buy-C Corp. (synthetic)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</si>
</sst>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;\(#,##0.0\)"/>
    <numFmt numFmtId="167" formatCode="0.0%"/>
    <numFmt numFmtId="168" formatCode="0.0\x"/>
    <numFmt numFmtId="169" formatCode="0.00"/>
    <numFmt numFmtId="170" formatCode="0.00%"/>
    <numFmt numFmtId="171" formatCode="0.000"/>
    <numFmt numFmtId="172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2"/>
      <charset val="1"/>
    </font>
    <font>
      <i val="true"/>
      <sz val="10"/>
      <color rgb="FF52514E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FFF2CC"/>
        <bgColor rgb="FFE6E4DF"/>
      </patternFill>
    </fill>
    <fill>
      <patternFill patternType="solid">
        <fgColor rgb="FFDCE6F1"/>
        <bgColor rgb="FFE6E4D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4DF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100" spc="-1" strike="noStrike">
                <a:solidFill>
                  <a:srgbClr val="000000"/>
                </a:solidFill>
                <a:latin typeface="Calibri"/>
              </a:rPr>
              <a:t>Implied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Field'!$B$5:$B$13</c:f>
              <c:strCache>
                <c:ptCount val="9"/>
                <c:pt idx="0">
                  <c:v>52-week trading range</c:v>
                </c:pt>
                <c:pt idx="1">
                  <c:v>Analyst price targets</c:v>
                </c:pt>
                <c:pt idx="2">
                  <c:v>EV / LTM EBITDA</c:v>
                </c:pt>
                <c:pt idx="3">
                  <c:v>P / NTM EPS</c:v>
                </c:pt>
                <c:pt idx="4">
                  <c:v>Precedent transactions</c:v>
                </c:pt>
                <c:pt idx="5">
                  <c:v>Premiums paid</c:v>
                </c:pt>
                <c:pt idx="6">
                  <c:v>DCF – perpetuity growth</c:v>
                </c:pt>
                <c:pt idx="7">
                  <c:v>DCF – exit multiple</c:v>
                </c:pt>
                <c:pt idx="8">
                  <c:v>LBO (20–25% IRR)</c:v>
                </c:pt>
              </c:strCache>
            </c:strRef>
          </c:cat>
          <c:val>
            <c:numRef>
              <c:f>'Football Field'!$C$5:$C$13</c:f>
              <c:numCache>
                <c:formatCode>\$#,##0.00</c:formatCode>
                <c:ptCount val="9"/>
                <c:pt idx="0">
                  <c:v>17.5726065547734</c:v>
                </c:pt>
                <c:pt idx="1">
                  <c:v>17.6</c:v>
                </c:pt>
                <c:pt idx="2">
                  <c:v>17.2807127454841</c:v>
                </c:pt>
                <c:pt idx="3">
                  <c:v>16.8415387596065</c:v>
                </c:pt>
                <c:pt idx="4">
                  <c:v>21.3741500347591</c:v>
                </c:pt>
                <c:pt idx="5">
                  <c:v>24</c:v>
                </c:pt>
                <c:pt idx="6">
                  <c:v>19.278106558504</c:v>
                </c:pt>
                <c:pt idx="7">
                  <c:v>17.2290879175159</c:v>
                </c:pt>
                <c:pt idx="8">
                  <c:v>11.022324131644</c:v>
                </c:pt>
              </c:numCache>
            </c:numRef>
          </c:val>
        </c:ser>
        <c:ser>
          <c:idx val="1"/>
          <c:order val="1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Field'!$B$5:$B$13</c:f>
              <c:strCache>
                <c:ptCount val="9"/>
                <c:pt idx="0">
                  <c:v>52-week trading range</c:v>
                </c:pt>
                <c:pt idx="1">
                  <c:v>Analyst price targets</c:v>
                </c:pt>
                <c:pt idx="2">
                  <c:v>EV / LTM EBITDA</c:v>
                </c:pt>
                <c:pt idx="3">
                  <c:v>P / NTM EPS</c:v>
                </c:pt>
                <c:pt idx="4">
                  <c:v>Precedent transactions</c:v>
                </c:pt>
                <c:pt idx="5">
                  <c:v>Premiums paid</c:v>
                </c:pt>
                <c:pt idx="6">
                  <c:v>DCF – perpetuity growth</c:v>
                </c:pt>
                <c:pt idx="7">
                  <c:v>DCF – exit multiple</c:v>
                </c:pt>
                <c:pt idx="8">
                  <c:v>LBO (20–25% IRR)</c:v>
                </c:pt>
              </c:strCache>
            </c:strRef>
          </c:cat>
          <c:val>
            <c:numRef>
              <c:f>'Football Field'!$E$5:$E$13</c:f>
              <c:numCache>
                <c:formatCode>\$#,##0.00</c:formatCode>
                <c:ptCount val="9"/>
                <c:pt idx="0">
                  <c:v>4.72820880692604</c:v>
                </c:pt>
                <c:pt idx="1">
                  <c:v>6.8</c:v>
                </c:pt>
                <c:pt idx="2">
                  <c:v>3.27788731235097</c:v>
                </c:pt>
                <c:pt idx="3">
                  <c:v>4.53813987811374</c:v>
                </c:pt>
                <c:pt idx="4">
                  <c:v>7.08025427930209</c:v>
                </c:pt>
                <c:pt idx="5">
                  <c:v>4</c:v>
                </c:pt>
                <c:pt idx="6">
                  <c:v>12.8971776631472</c:v>
                </c:pt>
                <c:pt idx="7">
                  <c:v>4.85138140880887</c:v>
                </c:pt>
                <c:pt idx="8">
                  <c:v>2.64746293767728</c:v>
                </c:pt>
              </c:numCache>
            </c:numRef>
          </c:val>
        </c:ser>
        <c:gapWidth val="60"/>
        <c:overlap val="100"/>
        <c:axId val="72894062"/>
        <c:axId val="42783689"/>
      </c:barChart>
      <c:catAx>
        <c:axId val="7289406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83689"/>
        <c:crosses val="autoZero"/>
        <c:auto val="1"/>
        <c:lblAlgn val="ctr"/>
        <c:lblOffset val="100"/>
        <c:noMultiLvlLbl val="0"/>
      </c:catAx>
      <c:valAx>
        <c:axId val="42783689"/>
        <c:scaling>
          <c:orientation val="minMax"/>
        </c:scaling>
        <c:delete val="0"/>
        <c:axPos val="l"/>
        <c:majorGridlines>
          <c:spPr>
            <a:ln w="9360">
              <a:solidFill>
                <a:srgbClr val="e6e4df"/>
              </a:solidFill>
              <a:round/>
            </a:ln>
          </c:spPr>
        </c:majorGridlines>
        <c:numFmt formatCode="\$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94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17</xdr:col>
      <xdr:colOff>151920</xdr:colOff>
      <xdr:row>21</xdr:row>
      <xdr:rowOff>160560</xdr:rowOff>
    </xdr:to>
    <xdr:graphicFrame>
      <xdr:nvGraphicFramePr>
        <xdr:cNvPr id="0" name="Chart 1"/>
        <xdr:cNvGraphicFramePr/>
      </xdr:nvGraphicFramePr>
      <xdr:xfrm>
        <a:off x="5655240" y="571680"/>
        <a:ext cx="687852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.71"/>
    <col collapsed="false" customWidth="true" hidden="false" outlineLevel="0" max="3" min="3" style="0" width="60.71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7" customFormat="false" ht="15" hidden="false" customHeight="false" outlineLevel="0" collapsed="false">
      <c r="B7" s="3" t="s">
        <v>3</v>
      </c>
      <c r="C7" s="4" t="s">
        <v>4</v>
      </c>
    </row>
    <row r="8" customFormat="false" ht="15" hidden="false" customHeight="false" outlineLevel="0" collapsed="false">
      <c r="B8" s="3" t="s">
        <v>5</v>
      </c>
      <c r="C8" s="4" t="s">
        <v>6</v>
      </c>
    </row>
    <row r="9" customFormat="false" ht="15" hidden="false" customHeight="false" outlineLevel="0" collapsed="false">
      <c r="B9" s="3" t="s">
        <v>7</v>
      </c>
      <c r="C9" s="4" t="s">
        <v>8</v>
      </c>
    </row>
    <row r="10" customFormat="false" ht="15" hidden="false" customHeight="false" outlineLevel="0" collapsed="false">
      <c r="B10" s="3" t="s">
        <v>9</v>
      </c>
      <c r="C10" s="4" t="s">
        <v>10</v>
      </c>
    </row>
    <row r="11" customFormat="false" ht="15" hidden="false" customHeight="false" outlineLevel="0" collapsed="false">
      <c r="B11" s="3" t="s">
        <v>11</v>
      </c>
      <c r="C11" s="4" t="s">
        <v>12</v>
      </c>
    </row>
    <row r="12" customFormat="false" ht="15" hidden="false" customHeight="false" outlineLevel="0" collapsed="false">
      <c r="B12" s="3" t="s">
        <v>13</v>
      </c>
      <c r="C12" s="4" t="s">
        <v>14</v>
      </c>
    </row>
    <row r="14" customFormat="false" ht="15" hidden="false" customHeight="false" outlineLevel="0" collapsed="false">
      <c r="B14" s="3" t="s">
        <v>15</v>
      </c>
    </row>
    <row r="15" customFormat="false" ht="15" hidden="false" customHeight="false" outlineLevel="0" collapsed="false">
      <c r="B15" s="5" t="s">
        <v>16</v>
      </c>
    </row>
    <row r="16" customFormat="false" ht="15" hidden="false" customHeight="false" outlineLevel="0" collapsed="false">
      <c r="B16" s="0" t="s">
        <v>17</v>
      </c>
    </row>
    <row r="17" customFormat="false" ht="15" hidden="false" customHeight="false" outlineLevel="0" collapsed="false">
      <c r="B17" s="6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6.71"/>
    <col collapsed="false" customWidth="true" hidden="false" outlineLevel="0" max="8" min="3" style="0" width="13.71"/>
  </cols>
  <sheetData>
    <row r="2" customFormat="false" ht="17.35" hidden="false" customHeight="false" outlineLevel="0" collapsed="false">
      <c r="B2" s="1" t="s">
        <v>19</v>
      </c>
    </row>
    <row r="4" customFormat="false" ht="15" hidden="false" customHeight="false" outlineLevel="0" collapsed="false">
      <c r="B4" s="3" t="s">
        <v>20</v>
      </c>
    </row>
    <row r="5" customFormat="false" ht="15" hidden="false" customHeight="false" outlineLevel="0" collapsed="false">
      <c r="B5" s="7" t="s">
        <v>21</v>
      </c>
      <c r="C5" s="8" t="n">
        <v>20</v>
      </c>
    </row>
    <row r="6" customFormat="false" ht="15" hidden="false" customHeight="false" outlineLevel="0" collapsed="false">
      <c r="B6" s="7" t="s">
        <v>22</v>
      </c>
      <c r="C6" s="9" t="n">
        <v>853.431877252818</v>
      </c>
    </row>
    <row r="7" customFormat="false" ht="15" hidden="false" customHeight="false" outlineLevel="0" collapsed="false">
      <c r="B7" s="7" t="s">
        <v>23</v>
      </c>
      <c r="C7" s="9" t="n">
        <v>6188.98740288025</v>
      </c>
    </row>
    <row r="8" customFormat="false" ht="15" hidden="false" customHeight="false" outlineLevel="0" collapsed="false">
      <c r="B8" s="7" t="s">
        <v>24</v>
      </c>
      <c r="C8" s="9" t="n">
        <v>468.672163576707</v>
      </c>
    </row>
    <row r="9" customFormat="false" ht="15" hidden="false" customHeight="false" outlineLevel="0" collapsed="false">
      <c r="B9" s="7" t="s">
        <v>25</v>
      </c>
      <c r="C9" s="9" t="n">
        <v>0</v>
      </c>
    </row>
    <row r="10" customFormat="false" ht="15" hidden="false" customHeight="false" outlineLevel="0" collapsed="false">
      <c r="B10" s="7" t="s">
        <v>26</v>
      </c>
      <c r="C10" s="9" t="n">
        <v>11833.9721303119</v>
      </c>
    </row>
    <row r="11" customFormat="false" ht="15" hidden="false" customHeight="false" outlineLevel="0" collapsed="false">
      <c r="B11" s="7" t="s">
        <v>27</v>
      </c>
      <c r="C11" s="9" t="n">
        <v>2083.62575896968</v>
      </c>
    </row>
    <row r="12" customFormat="false" ht="15" hidden="false" customHeight="false" outlineLevel="0" collapsed="false">
      <c r="B12" s="7" t="s">
        <v>28</v>
      </c>
      <c r="C12" s="8" t="n">
        <v>1.26109090909091</v>
      </c>
    </row>
    <row r="13" customFormat="false" ht="15" hidden="false" customHeight="false" outlineLevel="0" collapsed="false">
      <c r="B13" s="0" t="s">
        <v>29</v>
      </c>
      <c r="C13" s="10" t="n">
        <f aca="false">Inputs!$C$5*Inputs!$C$6</f>
        <v>17068.6375450564</v>
      </c>
    </row>
    <row r="14" customFormat="false" ht="15" hidden="false" customHeight="false" outlineLevel="0" collapsed="false">
      <c r="B14" s="0" t="s">
        <v>30</v>
      </c>
      <c r="C14" s="10" t="n">
        <f aca="false">C13+C7-C8+C9</f>
        <v>22788.9527843599</v>
      </c>
    </row>
    <row r="16" customFormat="false" ht="15" hidden="false" customHeight="false" outlineLevel="0" collapsed="false">
      <c r="B16" s="3" t="s">
        <v>31</v>
      </c>
    </row>
    <row r="17" customFormat="false" ht="15" hidden="false" customHeight="false" outlineLevel="0" collapsed="false">
      <c r="B17" s="7" t="s">
        <v>32</v>
      </c>
      <c r="C17" s="11" t="n">
        <v>0.042</v>
      </c>
    </row>
    <row r="18" customFormat="false" ht="15" hidden="false" customHeight="false" outlineLevel="0" collapsed="false">
      <c r="B18" s="7" t="s">
        <v>33</v>
      </c>
      <c r="C18" s="11" t="n">
        <v>0.045</v>
      </c>
    </row>
    <row r="19" customFormat="false" ht="15" hidden="false" customHeight="false" outlineLevel="0" collapsed="false">
      <c r="B19" s="7" t="s">
        <v>34</v>
      </c>
      <c r="C19" s="11" t="n">
        <v>0.23</v>
      </c>
    </row>
    <row r="20" customFormat="false" ht="15" hidden="false" customHeight="false" outlineLevel="0" collapsed="false">
      <c r="B20" s="7" t="s">
        <v>35</v>
      </c>
      <c r="C20" s="11" t="n">
        <v>0.025</v>
      </c>
    </row>
    <row r="21" customFormat="false" ht="15" hidden="false" customHeight="false" outlineLevel="0" collapsed="false">
      <c r="B21" s="7" t="s">
        <v>36</v>
      </c>
      <c r="C21" s="12" t="n">
        <v>10.620211116016</v>
      </c>
    </row>
    <row r="22" customFormat="false" ht="15" hidden="false" customHeight="false" outlineLevel="0" collapsed="false">
      <c r="B22" s="7" t="s">
        <v>37</v>
      </c>
      <c r="C22" s="11" t="n">
        <v>0.0528</v>
      </c>
    </row>
    <row r="24" customFormat="false" ht="15" hidden="false" customHeight="false" outlineLevel="0" collapsed="false">
      <c r="B24" s="3" t="s">
        <v>38</v>
      </c>
    </row>
    <row r="25" customFormat="false" ht="15" hidden="false" customHeight="false" outlineLevel="0" collapsed="false">
      <c r="B25" s="7" t="s">
        <v>39</v>
      </c>
      <c r="C25" s="12" t="n">
        <v>5</v>
      </c>
    </row>
    <row r="26" customFormat="false" ht="15" hidden="false" customHeight="false" outlineLevel="0" collapsed="false">
      <c r="B26" s="7" t="s">
        <v>40</v>
      </c>
      <c r="C26" s="11" t="n">
        <v>0.085</v>
      </c>
    </row>
    <row r="27" customFormat="false" ht="15" hidden="false" customHeight="false" outlineLevel="0" collapsed="false">
      <c r="B27" s="7" t="s">
        <v>41</v>
      </c>
      <c r="C27" s="11" t="n">
        <v>0.02</v>
      </c>
    </row>
    <row r="28" customFormat="false" ht="15" hidden="false" customHeight="false" outlineLevel="0" collapsed="false">
      <c r="B28" s="7" t="s">
        <v>42</v>
      </c>
      <c r="C28" s="8" t="n">
        <v>13.1333481087622</v>
      </c>
    </row>
    <row r="30" customFormat="false" ht="15" hidden="false" customHeight="false" outlineLevel="0" collapsed="false">
      <c r="B30" s="3" t="s">
        <v>43</v>
      </c>
      <c r="C30" s="13" t="s">
        <v>44</v>
      </c>
      <c r="D30" s="13" t="s">
        <v>45</v>
      </c>
      <c r="E30" s="13" t="s">
        <v>46</v>
      </c>
      <c r="F30" s="13" t="s">
        <v>47</v>
      </c>
      <c r="G30" s="13" t="s">
        <v>48</v>
      </c>
    </row>
    <row r="31" customFormat="false" ht="15" hidden="false" customHeight="false" outlineLevel="0" collapsed="false">
      <c r="B31" s="0" t="s">
        <v>49</v>
      </c>
      <c r="C31" s="11" t="n">
        <v>0.0218140890204068</v>
      </c>
      <c r="D31" s="11" t="n">
        <v>0.0226105667653051</v>
      </c>
      <c r="E31" s="11" t="n">
        <v>0.0234070445102034</v>
      </c>
      <c r="F31" s="11" t="n">
        <v>0.0242035222551017</v>
      </c>
      <c r="G31" s="11" t="n">
        <v>0.025</v>
      </c>
    </row>
    <row r="32" customFormat="false" ht="15" hidden="false" customHeight="false" outlineLevel="0" collapsed="false">
      <c r="B32" s="0" t="s">
        <v>50</v>
      </c>
      <c r="C32" s="11" t="n">
        <v>0.172536641029696</v>
      </c>
      <c r="D32" s="11" t="n">
        <v>0.172536641029696</v>
      </c>
      <c r="E32" s="11" t="n">
        <v>0.172536641029696</v>
      </c>
      <c r="F32" s="11" t="n">
        <v>0.172536641029696</v>
      </c>
      <c r="G32" s="11" t="n">
        <v>0.172536641029696</v>
      </c>
    </row>
    <row r="33" customFormat="false" ht="15" hidden="false" customHeight="false" outlineLevel="0" collapsed="false">
      <c r="B33" s="0" t="s">
        <v>51</v>
      </c>
      <c r="C33" s="11" t="n">
        <v>0.035</v>
      </c>
      <c r="D33" s="11" t="n">
        <v>0.035</v>
      </c>
      <c r="E33" s="11" t="n">
        <v>0.035</v>
      </c>
      <c r="F33" s="11" t="n">
        <v>0.035</v>
      </c>
      <c r="G33" s="11" t="n">
        <v>0.035</v>
      </c>
    </row>
    <row r="34" customFormat="false" ht="15" hidden="false" customHeight="false" outlineLevel="0" collapsed="false">
      <c r="B34" s="0" t="s">
        <v>52</v>
      </c>
      <c r="C34" s="11" t="n">
        <v>0.037</v>
      </c>
      <c r="D34" s="11" t="n">
        <v>0.037</v>
      </c>
      <c r="E34" s="11" t="n">
        <v>0.037</v>
      </c>
      <c r="F34" s="11" t="n">
        <v>0.037</v>
      </c>
      <c r="G34" s="11" t="n">
        <v>0.037</v>
      </c>
    </row>
    <row r="35" customFormat="false" ht="15" hidden="false" customHeight="false" outlineLevel="0" collapsed="false">
      <c r="B35" s="0" t="s">
        <v>53</v>
      </c>
      <c r="C35" s="11" t="n">
        <v>0.1</v>
      </c>
      <c r="D35" s="11" t="n">
        <v>0.1</v>
      </c>
      <c r="E35" s="11" t="n">
        <v>0.1</v>
      </c>
      <c r="F35" s="11" t="n">
        <v>0.1</v>
      </c>
      <c r="G35" s="11" t="n">
        <v>0.1</v>
      </c>
    </row>
    <row r="37" customFormat="false" ht="15" hidden="false" customHeight="false" outlineLevel="0" collapsed="false">
      <c r="B37" s="7" t="s">
        <v>54</v>
      </c>
      <c r="C37" s="9" t="n">
        <v>11716.8040894177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12.71"/>
    <col collapsed="false" customWidth="true" hidden="false" outlineLevel="0" max="3" min="3" style="0" width="34.71"/>
    <col collapsed="false" customWidth="true" hidden="false" outlineLevel="0" max="4" min="4" style="0" width="10.71"/>
    <col collapsed="false" customWidth="true" hidden="false" outlineLevel="0" max="16" min="5" style="0" width="11.71"/>
  </cols>
  <sheetData>
    <row r="2" customFormat="false" ht="17.35" hidden="false" customHeight="false" outlineLevel="0" collapsed="false">
      <c r="B2" s="1" t="s">
        <v>55</v>
      </c>
    </row>
    <row r="4" customFormat="false" ht="30" hidden="false" customHeight="true" outlineLevel="0" collapsed="false">
      <c r="B4" s="13" t="s">
        <v>56</v>
      </c>
      <c r="C4" s="13" t="s">
        <v>57</v>
      </c>
      <c r="D4" s="13" t="s">
        <v>58</v>
      </c>
      <c r="E4" s="13" t="s">
        <v>59</v>
      </c>
      <c r="F4" s="13" t="s">
        <v>60</v>
      </c>
      <c r="G4" s="13" t="s">
        <v>61</v>
      </c>
      <c r="H4" s="13" t="s">
        <v>62</v>
      </c>
      <c r="I4" s="13" t="s">
        <v>63</v>
      </c>
      <c r="J4" s="13" t="s">
        <v>64</v>
      </c>
      <c r="K4" s="13" t="s">
        <v>65</v>
      </c>
      <c r="L4" s="13" t="s">
        <v>66</v>
      </c>
      <c r="M4" s="13" t="s">
        <v>67</v>
      </c>
      <c r="N4" s="13" t="s">
        <v>68</v>
      </c>
      <c r="O4" s="13" t="s">
        <v>69</v>
      </c>
      <c r="P4" s="13" t="s">
        <v>70</v>
      </c>
      <c r="Q4" s="13" t="s">
        <v>71</v>
      </c>
      <c r="R4" s="13" t="s">
        <v>72</v>
      </c>
    </row>
    <row r="5" customFormat="false" ht="15" hidden="false" customHeight="false" outlineLevel="0" collapsed="false">
      <c r="B5" s="5" t="s">
        <v>73</v>
      </c>
      <c r="C5" s="5" t="s">
        <v>74</v>
      </c>
      <c r="D5" s="8" t="n">
        <v>37</v>
      </c>
      <c r="E5" s="9" t="n">
        <v>835.73006887772</v>
      </c>
      <c r="F5" s="9" t="n">
        <v>11094.5599973885</v>
      </c>
      <c r="G5" s="9" t="n">
        <v>777.273251814214</v>
      </c>
      <c r="H5" s="9" t="n">
        <v>0</v>
      </c>
      <c r="I5" s="9" t="n">
        <v>19723.3087647857</v>
      </c>
      <c r="J5" s="9" t="n">
        <v>3883.09599908597</v>
      </c>
      <c r="K5" s="8" t="n">
        <v>2.42290322580645</v>
      </c>
      <c r="L5" s="8" t="n">
        <v>2.50788387096774</v>
      </c>
      <c r="M5" s="10" t="n">
        <f aca="false">D5*E5</f>
        <v>30922.0125484756</v>
      </c>
      <c r="N5" s="10" t="n">
        <f aca="false">M5+F5-G5+H5</f>
        <v>41239.2992940499</v>
      </c>
      <c r="O5" s="14" t="n">
        <f aca="false">IF(I5&gt;0,N5/I5,"n.m.")</f>
        <v>2.09089153274725</v>
      </c>
      <c r="P5" s="14" t="n">
        <f aca="false">IF(AND(J5&gt;0,N5/J5&lt;100),N5/J5,"n.m.")</f>
        <v>10.620211116016</v>
      </c>
      <c r="Q5" s="14" t="n">
        <f aca="false">IF(AND(K5&gt;0,D5/K5&lt;100),D5/K5,"n.m.")</f>
        <v>15.2709359605911</v>
      </c>
      <c r="R5" s="14" t="n">
        <f aca="false">IF(AND(L5&gt;0,D5/L5&lt;100),D5/L5,"n.m.")</f>
        <v>14.7534742052161</v>
      </c>
    </row>
    <row r="6" customFormat="false" ht="15" hidden="false" customHeight="false" outlineLevel="0" collapsed="false">
      <c r="B6" s="5" t="s">
        <v>75</v>
      </c>
      <c r="C6" s="5" t="s">
        <v>76</v>
      </c>
      <c r="D6" s="8" t="n">
        <v>54</v>
      </c>
      <c r="E6" s="9" t="n">
        <v>276.118284421597</v>
      </c>
      <c r="F6" s="9" t="n">
        <v>5404.40031897814</v>
      </c>
      <c r="G6" s="9" t="n">
        <v>381.791886332699</v>
      </c>
      <c r="H6" s="9" t="n">
        <v>0</v>
      </c>
      <c r="I6" s="9" t="n">
        <v>9759.55509437962</v>
      </c>
      <c r="J6" s="9" t="n">
        <v>1782.58042779198</v>
      </c>
      <c r="K6" s="8" t="n">
        <v>3.24794117647059</v>
      </c>
      <c r="L6" s="8" t="n">
        <v>3.3858</v>
      </c>
      <c r="M6" s="10" t="n">
        <f aca="false">D6*E6</f>
        <v>14910.3873587662</v>
      </c>
      <c r="N6" s="10" t="n">
        <f aca="false">M6+F6-G6+H6</f>
        <v>19932.9957914117</v>
      </c>
      <c r="O6" s="14" t="n">
        <f aca="false">IF(I6&gt;0,N6/I6,"n.m.")</f>
        <v>2.04240824490973</v>
      </c>
      <c r="P6" s="14" t="n">
        <f aca="false">IF(AND(J6&gt;0,N6/J6&lt;100),N6/J6,"n.m.")</f>
        <v>11.1821017894278</v>
      </c>
      <c r="Q6" s="14" t="n">
        <f aca="false">IF(AND(K6&gt;0,D6/K6&lt;100),D6/K6,"n.m.")</f>
        <v>16.6259168704157</v>
      </c>
      <c r="R6" s="14" t="n">
        <f aca="false">IF(AND(L6&gt;0,D6/L6&lt;100),D6/L6,"n.m.")</f>
        <v>15.9489633173844</v>
      </c>
    </row>
    <row r="7" customFormat="false" ht="15" hidden="false" customHeight="false" outlineLevel="0" collapsed="false">
      <c r="B7" s="5" t="s">
        <v>77</v>
      </c>
      <c r="C7" s="5" t="s">
        <v>78</v>
      </c>
      <c r="D7" s="8" t="n">
        <v>71</v>
      </c>
      <c r="E7" s="9" t="n">
        <v>158.184673338488</v>
      </c>
      <c r="F7" s="9" t="n">
        <v>6435.58474712527</v>
      </c>
      <c r="G7" s="9" t="n">
        <v>341.730780832608</v>
      </c>
      <c r="H7" s="9" t="n">
        <v>0</v>
      </c>
      <c r="I7" s="9" t="n">
        <v>8650.06038982539</v>
      </c>
      <c r="J7" s="9" t="n">
        <v>1810.00821012898</v>
      </c>
      <c r="K7" s="8" t="n">
        <v>5.751</v>
      </c>
      <c r="L7" s="8" t="n">
        <v>5.93844</v>
      </c>
      <c r="M7" s="10" t="n">
        <f aca="false">D7*E7</f>
        <v>11231.1118070326</v>
      </c>
      <c r="N7" s="10" t="n">
        <f aca="false">M7+F7-G7+H7</f>
        <v>17324.9657733253</v>
      </c>
      <c r="O7" s="14" t="n">
        <f aca="false">IF(I7&gt;0,N7/I7,"n.m.")</f>
        <v>2.00287223355154</v>
      </c>
      <c r="P7" s="14" t="n">
        <f aca="false">IF(AND(J7&gt;0,N7/J7&lt;100),N7/J7,"n.m.")</f>
        <v>9.57176087731156</v>
      </c>
      <c r="Q7" s="14" t="n">
        <f aca="false">IF(AND(K7&gt;0,D7/K7&lt;100),D7/K7,"n.m.")</f>
        <v>12.3456790123457</v>
      </c>
      <c r="R7" s="14" t="n">
        <f aca="false">IF(AND(L7&gt;0,D7/L7&lt;100),D7/L7,"n.m.")</f>
        <v>11.9560019129603</v>
      </c>
    </row>
    <row r="8" customFormat="false" ht="15" hidden="false" customHeight="false" outlineLevel="0" collapsed="false">
      <c r="B8" s="5" t="s">
        <v>79</v>
      </c>
      <c r="C8" s="5" t="s">
        <v>80</v>
      </c>
      <c r="D8" s="8" t="n">
        <v>88</v>
      </c>
      <c r="E8" s="9" t="n">
        <v>150.923991384989</v>
      </c>
      <c r="F8" s="9" t="n">
        <v>1721.68444763604</v>
      </c>
      <c r="G8" s="9" t="n">
        <v>475.775812326861</v>
      </c>
      <c r="H8" s="9" t="n">
        <v>0</v>
      </c>
      <c r="I8" s="9" t="n">
        <v>11953.8672847124</v>
      </c>
      <c r="J8" s="9" t="n">
        <v>1441.91072489518</v>
      </c>
      <c r="K8" s="8" t="n">
        <v>4.78054054054054</v>
      </c>
      <c r="L8" s="8" t="n">
        <v>4.90041081081081</v>
      </c>
      <c r="M8" s="10" t="n">
        <f aca="false">D8*E8</f>
        <v>13281.311241879</v>
      </c>
      <c r="N8" s="10" t="n">
        <f aca="false">M8+F8-G8+H8</f>
        <v>14527.2198771882</v>
      </c>
      <c r="O8" s="14" t="n">
        <f aca="false">IF(I8&gt;0,N8/I8,"n.m.")</f>
        <v>1.21527364585742</v>
      </c>
      <c r="P8" s="14" t="n">
        <f aca="false">IF(AND(J8&gt;0,N8/J8&lt;100),N8/J8,"n.m.")</f>
        <v>10.0749787253606</v>
      </c>
      <c r="Q8" s="14" t="n">
        <f aca="false">IF(AND(K8&gt;0,D8/K8&lt;100),D8/K8,"n.m.")</f>
        <v>18.407960199005</v>
      </c>
      <c r="R8" s="14" t="n">
        <f aca="false">IF(AND(L8&gt;0,D8/L8&lt;100),D8/L8,"n.m.")</f>
        <v>17.9576781207533</v>
      </c>
    </row>
    <row r="9" customFormat="false" ht="15" hidden="false" customHeight="false" outlineLevel="0" collapsed="false">
      <c r="B9" s="5" t="s">
        <v>81</v>
      </c>
      <c r="C9" s="5" t="s">
        <v>82</v>
      </c>
      <c r="D9" s="8" t="n">
        <v>105</v>
      </c>
      <c r="E9" s="9" t="n">
        <v>351.908695559836</v>
      </c>
      <c r="F9" s="9" t="n">
        <v>20863.1871832953</v>
      </c>
      <c r="G9" s="9" t="n">
        <v>1047.44466829252</v>
      </c>
      <c r="H9" s="9" t="n">
        <v>0</v>
      </c>
      <c r="I9" s="9" t="n">
        <v>26055.1861237765</v>
      </c>
      <c r="J9" s="9" t="n">
        <v>6290.56704466025</v>
      </c>
      <c r="K9" s="8" t="n">
        <v>9.49772727272727</v>
      </c>
      <c r="L9" s="8" t="n">
        <v>9.639</v>
      </c>
      <c r="M9" s="10" t="n">
        <f aca="false">D9*E9</f>
        <v>36950.4130337828</v>
      </c>
      <c r="N9" s="10" t="n">
        <f aca="false">M9+F9-G9+H9</f>
        <v>56766.1555487856</v>
      </c>
      <c r="O9" s="14" t="n">
        <f aca="false">IF(I9&gt;0,N9/I9,"n.m.")</f>
        <v>2.17868931271936</v>
      </c>
      <c r="P9" s="14" t="n">
        <f aca="false">IF(AND(J9&gt;0,N9/J9&lt;100),N9/J9,"n.m.")</f>
        <v>9.02401248500666</v>
      </c>
      <c r="Q9" s="14" t="n">
        <f aca="false">IF(AND(K9&gt;0,D9/K9&lt;100),D9/K9,"n.m.")</f>
        <v>11.0552763819095</v>
      </c>
      <c r="R9" s="14" t="n">
        <f aca="false">IF(AND(L9&gt;0,D9/L9&lt;100),D9/L9,"n.m.")</f>
        <v>10.8932461873638</v>
      </c>
    </row>
    <row r="10" customFormat="false" ht="15" hidden="false" customHeight="false" outlineLevel="0" collapsed="false">
      <c r="B10" s="5" t="s">
        <v>83</v>
      </c>
      <c r="C10" s="5" t="s">
        <v>84</v>
      </c>
      <c r="D10" s="8" t="n">
        <v>32</v>
      </c>
      <c r="E10" s="9" t="n">
        <v>557.191969576777</v>
      </c>
      <c r="F10" s="9" t="n">
        <v>3583.90007733438</v>
      </c>
      <c r="G10" s="9" t="n">
        <v>267.878312510428</v>
      </c>
      <c r="H10" s="9" t="n">
        <v>0</v>
      </c>
      <c r="I10" s="9" t="n">
        <v>6864.38175807972</v>
      </c>
      <c r="J10" s="9" t="n">
        <v>1412.88368433375</v>
      </c>
      <c r="K10" s="8" t="n">
        <v>1.36666666666667</v>
      </c>
      <c r="L10" s="8" t="n">
        <v>1.428</v>
      </c>
      <c r="M10" s="10" t="n">
        <f aca="false">D10*E10</f>
        <v>17830.1430264569</v>
      </c>
      <c r="N10" s="10" t="n">
        <f aca="false">M10+F10-G10+H10</f>
        <v>21146.1647912808</v>
      </c>
      <c r="O10" s="14" t="n">
        <f aca="false">IF(I10&gt;0,N10/I10,"n.m.")</f>
        <v>3.08056363071455</v>
      </c>
      <c r="P10" s="14" t="n">
        <f aca="false">IF(AND(J10&gt;0,N10/J10&lt;100),N10/J10,"n.m.")</f>
        <v>14.9666706649333</v>
      </c>
      <c r="Q10" s="14" t="n">
        <f aca="false">IF(AND(K10&gt;0,D10/K10&lt;100),D10/K10,"n.m.")</f>
        <v>23.4146341463415</v>
      </c>
      <c r="R10" s="14" t="n">
        <f aca="false">IF(AND(L10&gt;0,D10/L10&lt;100),D10/L10,"n.m.")</f>
        <v>22.4089635854342</v>
      </c>
    </row>
    <row r="11" customFormat="false" ht="15" hidden="false" customHeight="false" outlineLevel="0" collapsed="false">
      <c r="B11" s="5" t="s">
        <v>85</v>
      </c>
      <c r="C11" s="5" t="s">
        <v>86</v>
      </c>
      <c r="D11" s="8" t="n">
        <v>49</v>
      </c>
      <c r="E11" s="9" t="n">
        <v>208.871013789345</v>
      </c>
      <c r="F11" s="9" t="n">
        <v>6626.06520778962</v>
      </c>
      <c r="G11" s="9" t="n">
        <v>318.181384186843</v>
      </c>
      <c r="H11" s="9" t="n">
        <v>0</v>
      </c>
      <c r="I11" s="9" t="n">
        <v>8193.17064281121</v>
      </c>
      <c r="J11" s="9" t="n">
        <v>1483.66242696159</v>
      </c>
      <c r="K11" s="8" t="n">
        <v>3.154375</v>
      </c>
      <c r="L11" s="8" t="n">
        <v>3.311175</v>
      </c>
      <c r="M11" s="10" t="n">
        <f aca="false">D11*E11</f>
        <v>10234.6796756779</v>
      </c>
      <c r="N11" s="10" t="n">
        <f aca="false">M11+F11-G11+H11</f>
        <v>16542.5634992807</v>
      </c>
      <c r="O11" s="14" t="n">
        <f aca="false">IF(I11&gt;0,N11/I11,"n.m.")</f>
        <v>2.01906736969958</v>
      </c>
      <c r="P11" s="14" t="n">
        <f aca="false">IF(AND(J11&gt;0,N11/J11&lt;100),N11/J11,"n.m.")</f>
        <v>11.149816291539</v>
      </c>
      <c r="Q11" s="14" t="n">
        <f aca="false">IF(AND(K11&gt;0,D11/K11&lt;100),D11/K11,"n.m.")</f>
        <v>15.5339805825243</v>
      </c>
      <c r="R11" s="14" t="n">
        <f aca="false">IF(AND(L11&gt;0,D11/L11&lt;100),D11/L11,"n.m.")</f>
        <v>14.7983721790603</v>
      </c>
    </row>
    <row r="13" customFormat="false" ht="15" hidden="false" customHeight="false" outlineLevel="0" collapsed="false">
      <c r="C13" s="3" t="s">
        <v>87</v>
      </c>
      <c r="O13" s="14" t="n">
        <f aca="false">AVERAGE(O5:O11)</f>
        <v>2.08996656717135</v>
      </c>
      <c r="P13" s="14" t="n">
        <f aca="false">AVERAGE(P5:P11)</f>
        <v>10.9413645642279</v>
      </c>
      <c r="Q13" s="14" t="n">
        <f aca="false">AVERAGE(Q5:Q11)</f>
        <v>16.0934833075904</v>
      </c>
      <c r="R13" s="14" t="n">
        <f aca="false">AVERAGE(R5:R11)</f>
        <v>15.530957072596</v>
      </c>
    </row>
    <row r="14" customFormat="false" ht="15" hidden="false" customHeight="false" outlineLevel="0" collapsed="false">
      <c r="C14" s="3" t="s">
        <v>88</v>
      </c>
      <c r="O14" s="14" t="n">
        <f aca="false">MEDIAN(O5:O11)</f>
        <v>2.04240824490973</v>
      </c>
      <c r="P14" s="14" t="n">
        <f aca="false">MEDIAN(P5:P11)</f>
        <v>10.620211116016</v>
      </c>
      <c r="Q14" s="14" t="n">
        <f aca="false">MEDIAN(Q5:Q11)</f>
        <v>15.5339805825243</v>
      </c>
      <c r="R14" s="14" t="n">
        <f aca="false">MEDIAN(R5:R11)</f>
        <v>14.7983721790603</v>
      </c>
    </row>
    <row r="15" customFormat="false" ht="15" hidden="false" customHeight="false" outlineLevel="0" collapsed="false">
      <c r="C15" s="3" t="s">
        <v>89</v>
      </c>
      <c r="O15" s="14" t="n">
        <f aca="false">QUARTILE(O5:O11,1)</f>
        <v>2.01096980162556</v>
      </c>
      <c r="P15" s="14" t="n">
        <f aca="false">QUARTILE(P5:P11,1)</f>
        <v>9.82336980133608</v>
      </c>
      <c r="Q15" s="14" t="n">
        <f aca="false">QUARTILE(Q5:Q11,1)</f>
        <v>13.8083074864684</v>
      </c>
      <c r="R15" s="14" t="n">
        <f aca="false">QUARTILE(R5:R11,1)</f>
        <v>13.3547380590882</v>
      </c>
    </row>
    <row r="16" customFormat="false" ht="15" hidden="false" customHeight="false" outlineLevel="0" collapsed="false">
      <c r="C16" s="3" t="s">
        <v>90</v>
      </c>
      <c r="O16" s="14" t="n">
        <f aca="false">QUARTILE(O5:O11,3)</f>
        <v>2.1347904227333</v>
      </c>
      <c r="P16" s="14" t="n">
        <f aca="false">QUARTILE(P5:P11,3)</f>
        <v>11.1659590404834</v>
      </c>
      <c r="Q16" s="14" t="n">
        <f aca="false">QUARTILE(Q5:Q11,3)</f>
        <v>17.5169385347103</v>
      </c>
      <c r="R16" s="14" t="n">
        <f aca="false">QUARTILE(R5:R11,3)</f>
        <v>16.9533207190688</v>
      </c>
    </row>
    <row r="18" customFormat="false" ht="15" hidden="false" customHeight="false" outlineLevel="0" collapsed="false">
      <c r="C18" s="3" t="s">
        <v>91</v>
      </c>
      <c r="D18" s="13" t="s">
        <v>92</v>
      </c>
      <c r="E18" s="13" t="s">
        <v>93</v>
      </c>
    </row>
    <row r="19" customFormat="false" ht="15" hidden="false" customHeight="false" outlineLevel="0" collapsed="false">
      <c r="C19" s="0" t="s">
        <v>94</v>
      </c>
      <c r="D19" s="15" t="n">
        <f aca="false">(P15*Inputs!$C$11-(Inputs!$C$7-Inputs!$C$8+Inputs!$C$9))/Inputs!$C$6</f>
        <v>17.2807127454841</v>
      </c>
      <c r="E19" s="15" t="n">
        <f aca="false">(P16*Inputs!$C$11-(Inputs!$C$7-Inputs!$C$8+Inputs!$C$9))/Inputs!$C$6</f>
        <v>20.5586000578351</v>
      </c>
    </row>
    <row r="20" customFormat="false" ht="15" hidden="false" customHeight="false" outlineLevel="0" collapsed="false">
      <c r="C20" s="0" t="s">
        <v>95</v>
      </c>
      <c r="D20" s="15" t="n">
        <f aca="false">R15*Inputs!$C$12</f>
        <v>16.8415387596065</v>
      </c>
      <c r="E20" s="15" t="n">
        <f aca="false">R16*Inputs!$C$12</f>
        <v>21.3796786377202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4.71"/>
    <col collapsed="false" customWidth="true" hidden="false" outlineLevel="0" max="7" min="3" style="0" width="12.71"/>
  </cols>
  <sheetData>
    <row r="2" customFormat="false" ht="17.35" hidden="false" customHeight="false" outlineLevel="0" collapsed="false">
      <c r="B2" s="1" t="s">
        <v>96</v>
      </c>
    </row>
    <row r="4" customFormat="false" ht="23.85" hidden="false" customHeight="false" outlineLevel="0" collapsed="false">
      <c r="B4" s="13" t="s">
        <v>97</v>
      </c>
      <c r="C4" s="13" t="s">
        <v>98</v>
      </c>
      <c r="D4" s="13" t="s">
        <v>60</v>
      </c>
      <c r="E4" s="13" t="s">
        <v>67</v>
      </c>
      <c r="F4" s="13" t="s">
        <v>99</v>
      </c>
      <c r="G4" s="13" t="s">
        <v>100</v>
      </c>
    </row>
    <row r="5" customFormat="false" ht="15" hidden="false" customHeight="false" outlineLevel="0" collapsed="false">
      <c r="B5" s="5" t="s">
        <v>73</v>
      </c>
      <c r="C5" s="16" t="n">
        <v>0.886802410134017</v>
      </c>
      <c r="D5" s="9" t="n">
        <v>11094.5599973885</v>
      </c>
      <c r="E5" s="9" t="n">
        <v>30922.0125484757</v>
      </c>
      <c r="F5" s="17" t="n">
        <f aca="false">D5/E5</f>
        <v>0.358791653033444</v>
      </c>
      <c r="G5" s="18" t="n">
        <f aca="false">C5/(1+(1-Inputs!$C$19)*F5)</f>
        <v>0.694839420298664</v>
      </c>
    </row>
    <row r="6" customFormat="false" ht="15" hidden="false" customHeight="false" outlineLevel="0" collapsed="false">
      <c r="B6" s="5" t="s">
        <v>75</v>
      </c>
      <c r="C6" s="16" t="n">
        <v>0.909289738162662</v>
      </c>
      <c r="D6" s="9" t="n">
        <v>5404.40031897814</v>
      </c>
      <c r="E6" s="9" t="n">
        <v>14910.3873587662</v>
      </c>
      <c r="F6" s="17" t="n">
        <f aca="false">D6/E6</f>
        <v>0.362458746975526</v>
      </c>
      <c r="G6" s="18" t="n">
        <f aca="false">C6/(1+(1-Inputs!$C$19)*F6)</f>
        <v>0.710886206853397</v>
      </c>
    </row>
    <row r="7" customFormat="false" ht="15" hidden="false" customHeight="false" outlineLevel="0" collapsed="false">
      <c r="B7" s="5" t="s">
        <v>77</v>
      </c>
      <c r="C7" s="16" t="n">
        <v>0.803214136679572</v>
      </c>
      <c r="D7" s="9" t="n">
        <v>6435.58474712527</v>
      </c>
      <c r="E7" s="9" t="n">
        <v>11231.1118070327</v>
      </c>
      <c r="F7" s="17" t="n">
        <f aca="false">D7/E7</f>
        <v>0.573014039722716</v>
      </c>
      <c r="G7" s="18" t="n">
        <f aca="false">C7/(1+(1-Inputs!$C$19)*F7)</f>
        <v>0.55731511145243</v>
      </c>
    </row>
    <row r="8" customFormat="false" ht="15" hidden="false" customHeight="false" outlineLevel="0" collapsed="false">
      <c r="B8" s="5" t="s">
        <v>79</v>
      </c>
      <c r="C8" s="16" t="n">
        <v>0.841556353615218</v>
      </c>
      <c r="D8" s="9" t="n">
        <v>1721.68444763604</v>
      </c>
      <c r="E8" s="9" t="n">
        <v>13281.311241879</v>
      </c>
      <c r="F8" s="17" t="n">
        <f aca="false">D8/E8</f>
        <v>0.129632113597878</v>
      </c>
      <c r="G8" s="18" t="n">
        <f aca="false">C8/(1+(1-Inputs!$C$19)*F8)</f>
        <v>0.765178718049542</v>
      </c>
    </row>
    <row r="9" customFormat="false" ht="15" hidden="false" customHeight="false" outlineLevel="0" collapsed="false">
      <c r="B9" s="5" t="s">
        <v>81</v>
      </c>
      <c r="C9" s="16" t="n">
        <v>0.786114054219525</v>
      </c>
      <c r="D9" s="9" t="n">
        <v>20863.1871832953</v>
      </c>
      <c r="E9" s="9" t="n">
        <v>36950.4130337828</v>
      </c>
      <c r="F9" s="17" t="n">
        <f aca="false">D9/E9</f>
        <v>0.564626629862585</v>
      </c>
      <c r="G9" s="18" t="n">
        <f aca="false">C9/(1+(1-Inputs!$C$19)*F9)</f>
        <v>0.547905351222367</v>
      </c>
    </row>
    <row r="10" customFormat="false" ht="15" hidden="false" customHeight="false" outlineLevel="0" collapsed="false">
      <c r="B10" s="5" t="s">
        <v>83</v>
      </c>
      <c r="C10" s="16" t="n">
        <v>0.954301877567318</v>
      </c>
      <c r="D10" s="9" t="n">
        <v>3583.90007733438</v>
      </c>
      <c r="E10" s="9" t="n">
        <v>17830.1430264569</v>
      </c>
      <c r="F10" s="17" t="n">
        <f aca="false">D10/E10</f>
        <v>0.201002317929615</v>
      </c>
      <c r="G10" s="18" t="n">
        <f aca="false">C10/(1+(1-Inputs!$C$19)*F10)</f>
        <v>0.826398679049646</v>
      </c>
    </row>
    <row r="11" customFormat="false" ht="15" hidden="false" customHeight="false" outlineLevel="0" collapsed="false">
      <c r="B11" s="5" t="s">
        <v>85</v>
      </c>
      <c r="C11" s="16" t="n">
        <v>1.02088544175575</v>
      </c>
      <c r="D11" s="9" t="n">
        <v>6626.06520778962</v>
      </c>
      <c r="E11" s="9" t="n">
        <v>10234.6796756779</v>
      </c>
      <c r="F11" s="17" t="n">
        <f aca="false">D11/E11</f>
        <v>0.647413052265434</v>
      </c>
      <c r="G11" s="18" t="n">
        <f aca="false">C11/(1+(1-Inputs!$C$19)*F11)</f>
        <v>0.681267906161236</v>
      </c>
    </row>
    <row r="13" customFormat="false" ht="15" hidden="false" customHeight="false" outlineLevel="0" collapsed="false">
      <c r="B13" s="7" t="s">
        <v>101</v>
      </c>
      <c r="C13" s="18" t="n">
        <f aca="false">MEDIAN(G5:G11)</f>
        <v>0.694839420298664</v>
      </c>
    </row>
    <row r="14" customFormat="false" ht="15" hidden="false" customHeight="false" outlineLevel="0" collapsed="false">
      <c r="B14" s="7" t="s">
        <v>102</v>
      </c>
      <c r="C14" s="17" t="n">
        <f aca="false">Inputs!$C$7/Inputs!$C$13</f>
        <v>0.362594107850909</v>
      </c>
    </row>
    <row r="15" customFormat="false" ht="15" hidden="false" customHeight="false" outlineLevel="0" collapsed="false">
      <c r="B15" s="7" t="s">
        <v>103</v>
      </c>
      <c r="C15" s="18" t="n">
        <f aca="false">C13*(1+(1-Inputs!$C$19)*C14)</f>
        <v>0.888836823669848</v>
      </c>
    </row>
    <row r="16" customFormat="false" ht="15" hidden="false" customHeight="false" outlineLevel="0" collapsed="false">
      <c r="B16" s="7" t="s">
        <v>32</v>
      </c>
      <c r="C16" s="19" t="n">
        <f aca="false">Inputs!$C$17</f>
        <v>0.042</v>
      </c>
    </row>
    <row r="17" customFormat="false" ht="15" hidden="false" customHeight="false" outlineLevel="0" collapsed="false">
      <c r="B17" s="7" t="s">
        <v>33</v>
      </c>
      <c r="C17" s="19" t="n">
        <f aca="false">Inputs!$C$18</f>
        <v>0.045</v>
      </c>
    </row>
    <row r="18" customFormat="false" ht="15" hidden="false" customHeight="false" outlineLevel="0" collapsed="false">
      <c r="B18" s="7" t="s">
        <v>104</v>
      </c>
      <c r="C18" s="17" t="n">
        <f aca="false">C16+C15*C17</f>
        <v>0.0819976570651432</v>
      </c>
    </row>
    <row r="19" customFormat="false" ht="15" hidden="false" customHeight="false" outlineLevel="0" collapsed="false">
      <c r="B19" s="7" t="s">
        <v>105</v>
      </c>
      <c r="C19" s="19" t="n">
        <f aca="false">Inputs!$C$22</f>
        <v>0.0528</v>
      </c>
    </row>
    <row r="20" customFormat="false" ht="15" hidden="false" customHeight="false" outlineLevel="0" collapsed="false">
      <c r="B20" s="7" t="s">
        <v>106</v>
      </c>
      <c r="C20" s="17" t="n">
        <f aca="false">C19*(1-Inputs!$C$19)</f>
        <v>0.040656</v>
      </c>
    </row>
    <row r="21" customFormat="false" ht="15" hidden="false" customHeight="false" outlineLevel="0" collapsed="false">
      <c r="B21" s="7" t="s">
        <v>107</v>
      </c>
      <c r="C21" s="17" t="n">
        <f aca="false">Inputs!$C$13/(Inputs!$C$13+Inputs!$C$7)</f>
        <v>0.733894264064598</v>
      </c>
    </row>
    <row r="22" customFormat="false" ht="15" hidden="false" customHeight="false" outlineLevel="0" collapsed="false">
      <c r="B22" s="3" t="s">
        <v>7</v>
      </c>
      <c r="C22" s="20" t="n">
        <f aca="false">C21*C18+(1-C21)*C20</f>
        <v>0.0709964049870342</v>
      </c>
    </row>
    <row r="25" customFormat="false" ht="15" hidden="false" customHeight="false" outlineLevel="0" collapsed="false">
      <c r="B25" s="2" t="s">
        <v>108</v>
      </c>
    </row>
    <row r="26" customFormat="false" ht="15" hidden="false" customHeight="false" outlineLevel="0" collapsed="false">
      <c r="B26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0.71"/>
    <col collapsed="false" customWidth="true" hidden="false" outlineLevel="0" max="9" min="3" style="0" width="12.71"/>
  </cols>
  <sheetData>
    <row r="2" customFormat="false" ht="17.35" hidden="false" customHeight="false" outlineLevel="0" collapsed="false">
      <c r="B2" s="1" t="s">
        <v>110</v>
      </c>
    </row>
    <row r="4" customFormat="false" ht="15" hidden="false" customHeight="false" outlineLevel="0" collapsed="false">
      <c r="C4" s="13" t="s">
        <v>111</v>
      </c>
      <c r="D4" s="13" t="s">
        <v>44</v>
      </c>
      <c r="E4" s="13" t="s">
        <v>45</v>
      </c>
      <c r="F4" s="13" t="s">
        <v>46</v>
      </c>
      <c r="G4" s="13" t="s">
        <v>47</v>
      </c>
      <c r="H4" s="13" t="s">
        <v>48</v>
      </c>
    </row>
    <row r="5" customFormat="false" ht="15" hidden="false" customHeight="false" outlineLevel="0" collapsed="false">
      <c r="B5" s="0" t="s">
        <v>112</v>
      </c>
      <c r="D5" s="21" t="n">
        <v>1</v>
      </c>
      <c r="E5" s="21" t="n">
        <v>2</v>
      </c>
      <c r="F5" s="21" t="n">
        <v>3</v>
      </c>
      <c r="G5" s="21" t="n">
        <v>4</v>
      </c>
      <c r="H5" s="21" t="n">
        <v>5</v>
      </c>
    </row>
    <row r="7" customFormat="false" ht="15" hidden="false" customHeight="false" outlineLevel="0" collapsed="false">
      <c r="B7" s="3" t="s">
        <v>113</v>
      </c>
      <c r="C7" s="22" t="n">
        <f aca="false">Inputs!$C$37</f>
        <v>11716.8040894177</v>
      </c>
      <c r="D7" s="10" t="n">
        <f aca="false">C7*(1+D8)</f>
        <v>11972.3954968589</v>
      </c>
      <c r="E7" s="10" t="n">
        <f aca="false">D7*(1+E8)</f>
        <v>12243.0981445813</v>
      </c>
      <c r="F7" s="10" t="n">
        <f aca="false">E7*(1+F8)</f>
        <v>12529.6728877943</v>
      </c>
      <c r="G7" s="10" t="n">
        <f aca="false">F7*(1+G8)</f>
        <v>12832.9351043831</v>
      </c>
      <c r="H7" s="10" t="n">
        <f aca="false">G7*(1+H8)</f>
        <v>13153.7584819927</v>
      </c>
    </row>
    <row r="8" customFormat="false" ht="15" hidden="false" customHeight="false" outlineLevel="0" collapsed="false">
      <c r="B8" s="7" t="s">
        <v>114</v>
      </c>
      <c r="D8" s="19" t="n">
        <f aca="false">Inputs!C31</f>
        <v>0.0218140890204068</v>
      </c>
      <c r="E8" s="19" t="n">
        <f aca="false">Inputs!D31</f>
        <v>0.0226105667653051</v>
      </c>
      <c r="F8" s="19" t="n">
        <f aca="false">Inputs!E31</f>
        <v>0.0234070445102034</v>
      </c>
      <c r="G8" s="19" t="n">
        <f aca="false">Inputs!F31</f>
        <v>0.0242035222551017</v>
      </c>
      <c r="H8" s="19" t="n">
        <f aca="false">Inputs!G31</f>
        <v>0.025</v>
      </c>
    </row>
    <row r="9" customFormat="false" ht="15" hidden="false" customHeight="false" outlineLevel="0" collapsed="false">
      <c r="B9" s="3" t="s">
        <v>115</v>
      </c>
      <c r="D9" s="10" t="n">
        <f aca="false">D7*D10</f>
        <v>2065.67690410709</v>
      </c>
      <c r="E9" s="10" t="n">
        <f aca="false">E7*E10</f>
        <v>2112.38302966295</v>
      </c>
      <c r="F9" s="10" t="n">
        <f aca="false">F7*F10</f>
        <v>2161.82767326087</v>
      </c>
      <c r="G9" s="10" t="n">
        <f aca="false">G7*G10</f>
        <v>2214.15151746233</v>
      </c>
      <c r="H9" s="10" t="n">
        <f aca="false">H7*H10</f>
        <v>2269.50530539889</v>
      </c>
    </row>
    <row r="10" customFormat="false" ht="15" hidden="false" customHeight="false" outlineLevel="0" collapsed="false">
      <c r="B10" s="7" t="s">
        <v>116</v>
      </c>
      <c r="D10" s="19" t="n">
        <f aca="false">Inputs!C32</f>
        <v>0.172536641029696</v>
      </c>
      <c r="E10" s="19" t="n">
        <f aca="false">Inputs!D32</f>
        <v>0.172536641029696</v>
      </c>
      <c r="F10" s="19" t="n">
        <f aca="false">Inputs!E32</f>
        <v>0.172536641029696</v>
      </c>
      <c r="G10" s="19" t="n">
        <f aca="false">Inputs!F32</f>
        <v>0.172536641029696</v>
      </c>
      <c r="H10" s="19" t="n">
        <f aca="false">Inputs!G32</f>
        <v>0.172536641029696</v>
      </c>
    </row>
    <row r="11" customFormat="false" ht="15" hidden="false" customHeight="false" outlineLevel="0" collapsed="false">
      <c r="B11" s="7" t="s">
        <v>117</v>
      </c>
      <c r="D11" s="10" t="n">
        <f aca="false">D7*Inputs!C33</f>
        <v>419.033842390062</v>
      </c>
      <c r="E11" s="10" t="n">
        <f aca="false">E7*Inputs!D33</f>
        <v>428.508435060345</v>
      </c>
      <c r="F11" s="10" t="n">
        <f aca="false">F7*Inputs!E33</f>
        <v>438.5385510728</v>
      </c>
      <c r="G11" s="10" t="n">
        <f aca="false">G7*Inputs!F33</f>
        <v>449.15272865341</v>
      </c>
      <c r="H11" s="10" t="n">
        <f aca="false">H7*Inputs!G33</f>
        <v>460.381546869745</v>
      </c>
    </row>
    <row r="12" customFormat="false" ht="15" hidden="false" customHeight="false" outlineLevel="0" collapsed="false">
      <c r="B12" s="7" t="s">
        <v>118</v>
      </c>
      <c r="D12" s="10" t="n">
        <f aca="false">D9-D11</f>
        <v>1646.64306171703</v>
      </c>
      <c r="E12" s="10" t="n">
        <f aca="false">E9-E11</f>
        <v>1683.87459460261</v>
      </c>
      <c r="F12" s="10" t="n">
        <f aca="false">F9-F11</f>
        <v>1723.28912218807</v>
      </c>
      <c r="G12" s="10" t="n">
        <f aca="false">G9-G11</f>
        <v>1764.99878880892</v>
      </c>
      <c r="H12" s="10" t="n">
        <f aca="false">H9-H11</f>
        <v>1809.12375852915</v>
      </c>
    </row>
    <row r="13" customFormat="false" ht="15" hidden="false" customHeight="false" outlineLevel="0" collapsed="false">
      <c r="B13" s="7" t="s">
        <v>119</v>
      </c>
      <c r="D13" s="10" t="n">
        <f aca="false">-D12*Inputs!$C$19</f>
        <v>-378.727904194916</v>
      </c>
      <c r="E13" s="10" t="n">
        <f aca="false">-E12*Inputs!$C$19</f>
        <v>-387.291156758599</v>
      </c>
      <c r="F13" s="10" t="n">
        <f aca="false">-F12*Inputs!$C$19</f>
        <v>-396.356498103256</v>
      </c>
      <c r="G13" s="10" t="n">
        <f aca="false">-G12*Inputs!$C$19</f>
        <v>-405.949721426053</v>
      </c>
      <c r="H13" s="10" t="n">
        <f aca="false">-H12*Inputs!$C$19</f>
        <v>-416.098464461704</v>
      </c>
    </row>
    <row r="14" customFormat="false" ht="15" hidden="false" customHeight="false" outlineLevel="0" collapsed="false">
      <c r="B14" s="7" t="s">
        <v>120</v>
      </c>
      <c r="D14" s="10" t="n">
        <f aca="false">D12+D13</f>
        <v>1267.91515752211</v>
      </c>
      <c r="E14" s="10" t="n">
        <f aca="false">E12+E13</f>
        <v>1296.58343784401</v>
      </c>
      <c r="F14" s="10" t="n">
        <f aca="false">F12+F13</f>
        <v>1326.93262408481</v>
      </c>
      <c r="G14" s="10" t="n">
        <f aca="false">G12+G13</f>
        <v>1359.04906738287</v>
      </c>
      <c r="H14" s="10" t="n">
        <f aca="false">H12+H13</f>
        <v>1393.02529406744</v>
      </c>
    </row>
    <row r="15" customFormat="false" ht="15" hidden="false" customHeight="false" outlineLevel="0" collapsed="false">
      <c r="B15" s="7" t="s">
        <v>121</v>
      </c>
      <c r="D15" s="10" t="n">
        <f aca="false">D11</f>
        <v>419.033842390062</v>
      </c>
      <c r="E15" s="10" t="n">
        <f aca="false">E11</f>
        <v>428.508435060345</v>
      </c>
      <c r="F15" s="10" t="n">
        <f aca="false">F11</f>
        <v>438.5385510728</v>
      </c>
      <c r="G15" s="10" t="n">
        <f aca="false">G11</f>
        <v>449.15272865341</v>
      </c>
      <c r="H15" s="10" t="n">
        <f aca="false">H11</f>
        <v>460.381546869745</v>
      </c>
    </row>
    <row r="16" customFormat="false" ht="15" hidden="false" customHeight="false" outlineLevel="0" collapsed="false">
      <c r="B16" s="7" t="s">
        <v>122</v>
      </c>
      <c r="D16" s="10" t="n">
        <f aca="false">-D7*Inputs!C34</f>
        <v>-442.978633383779</v>
      </c>
      <c r="E16" s="10" t="n">
        <f aca="false">-E7*Inputs!D34</f>
        <v>-452.994631349507</v>
      </c>
      <c r="F16" s="10" t="n">
        <f aca="false">-F7*Inputs!E34</f>
        <v>-463.597896848388</v>
      </c>
      <c r="G16" s="10" t="n">
        <f aca="false">-G7*Inputs!F34</f>
        <v>-474.818598862177</v>
      </c>
      <c r="H16" s="10" t="n">
        <f aca="false">-H7*Inputs!G34</f>
        <v>-486.689063833731</v>
      </c>
    </row>
    <row r="17" customFormat="false" ht="15" hidden="false" customHeight="false" outlineLevel="0" collapsed="false">
      <c r="B17" s="7" t="s">
        <v>123</v>
      </c>
      <c r="D17" s="10" t="n">
        <f aca="false">-(D7-C7)*Inputs!C35</f>
        <v>-25.5591407441225</v>
      </c>
      <c r="E17" s="10" t="n">
        <f aca="false">-(E7-D7)*Inputs!D35</f>
        <v>-27.0702647722366</v>
      </c>
      <c r="F17" s="10" t="n">
        <f aca="false">-(F7-E7)*Inputs!E35</f>
        <v>-28.6574743213003</v>
      </c>
      <c r="G17" s="10" t="n">
        <f aca="false">-(G7-F7)*Inputs!F35</f>
        <v>-30.3262216588875</v>
      </c>
      <c r="H17" s="10" t="n">
        <f aca="false">-(H7-G7)*Inputs!G35</f>
        <v>-32.0823377609577</v>
      </c>
    </row>
    <row r="18" customFormat="false" ht="15" hidden="false" customHeight="false" outlineLevel="0" collapsed="false">
      <c r="B18" s="3" t="s">
        <v>124</v>
      </c>
      <c r="D18" s="23" t="n">
        <f aca="false">D14+D15+D16+D17</f>
        <v>1218.41122578427</v>
      </c>
      <c r="E18" s="23" t="n">
        <f aca="false">E14+E15+E16+E17</f>
        <v>1245.02697678261</v>
      </c>
      <c r="F18" s="23" t="n">
        <f aca="false">F14+F15+F16+F17</f>
        <v>1273.21580398793</v>
      </c>
      <c r="G18" s="23" t="n">
        <f aca="false">G14+G15+G16+G17</f>
        <v>1303.05697551522</v>
      </c>
      <c r="H18" s="23" t="n">
        <f aca="false">H14+H15+H16+H17</f>
        <v>1334.6354393425</v>
      </c>
    </row>
    <row r="19" customFormat="false" ht="15" hidden="false" customHeight="false" outlineLevel="0" collapsed="false">
      <c r="B19" s="7" t="s">
        <v>125</v>
      </c>
      <c r="D19" s="24" t="n">
        <f aca="false">1/(1+WACC!$C$22)^(D5-0.5)</f>
        <v>0.966286681183615</v>
      </c>
      <c r="E19" s="24" t="n">
        <f aca="false">1/(1+WACC!$C$22)^(E5-0.5)</f>
        <v>0.902231488998615</v>
      </c>
      <c r="F19" s="24" t="n">
        <f aca="false">1/(1+WACC!$C$22)^(F5-0.5)</f>
        <v>0.842422518691402</v>
      </c>
      <c r="G19" s="24" t="n">
        <f aca="false">1/(1+WACC!$C$22)^(G5-0.5)</f>
        <v>0.786578288002378</v>
      </c>
      <c r="H19" s="24" t="n">
        <f aca="false">1/(1+WACC!$C$22)^(H5-0.5)</f>
        <v>0.734435974144937</v>
      </c>
    </row>
    <row r="20" customFormat="false" ht="15" hidden="false" customHeight="false" outlineLevel="0" collapsed="false">
      <c r="B20" s="7" t="s">
        <v>126</v>
      </c>
      <c r="D20" s="10" t="n">
        <f aca="false">D18*D19</f>
        <v>1177.33453967994</v>
      </c>
      <c r="E20" s="10" t="n">
        <f aca="false">E18*E19</f>
        <v>1123.30254310602</v>
      </c>
      <c r="F20" s="10" t="n">
        <f aca="false">F18*F19</f>
        <v>1072.58566443321</v>
      </c>
      <c r="G20" s="10" t="n">
        <f aca="false">G18*G19</f>
        <v>1024.95632497032</v>
      </c>
      <c r="H20" s="10" t="n">
        <f aca="false">H18*H19</f>
        <v>980.204279021865</v>
      </c>
    </row>
    <row r="22" customFormat="false" ht="15" hidden="false" customHeight="false" outlineLevel="0" collapsed="false">
      <c r="B22" s="13" t="s">
        <v>127</v>
      </c>
      <c r="C22" s="13" t="s">
        <v>128</v>
      </c>
      <c r="D22" s="13" t="s">
        <v>129</v>
      </c>
    </row>
    <row r="23" customFormat="false" ht="15" hidden="false" customHeight="false" outlineLevel="0" collapsed="false">
      <c r="B23" s="7" t="s">
        <v>7</v>
      </c>
      <c r="C23" s="19" t="n">
        <f aca="false">WACC!$C$22</f>
        <v>0.0709964049870342</v>
      </c>
      <c r="D23" s="19" t="n">
        <f aca="false">WACC!$C$22</f>
        <v>0.0709964049870342</v>
      </c>
    </row>
    <row r="24" customFormat="false" ht="15" hidden="false" customHeight="false" outlineLevel="0" collapsed="false">
      <c r="B24" s="7" t="s">
        <v>130</v>
      </c>
      <c r="C24" s="19" t="n">
        <f aca="false">Inputs!$C$20</f>
        <v>0.025</v>
      </c>
      <c r="D24" s="25" t="n">
        <f aca="false">Inputs!$C$21</f>
        <v>10.620211116016</v>
      </c>
    </row>
    <row r="25" customFormat="false" ht="15" hidden="false" customHeight="false" outlineLevel="0" collapsed="false">
      <c r="B25" s="7" t="s">
        <v>131</v>
      </c>
      <c r="C25" s="10" t="n">
        <f aca="false">SUM(D20:H20)</f>
        <v>5378.38335121135</v>
      </c>
      <c r="D25" s="10" t="n">
        <f aca="false">C25</f>
        <v>5378.38335121135</v>
      </c>
    </row>
    <row r="26" customFormat="false" ht="15" hidden="false" customHeight="false" outlineLevel="0" collapsed="false">
      <c r="B26" s="7" t="s">
        <v>132</v>
      </c>
      <c r="C26" s="10" t="n">
        <f aca="false">H18*(1+C24)/(C23-C24)</f>
        <v>29741.4836162018</v>
      </c>
      <c r="D26" s="10" t="n">
        <f aca="false">H9*D24</f>
        <v>24102.6254722545</v>
      </c>
    </row>
    <row r="27" customFormat="false" ht="15" hidden="false" customHeight="false" outlineLevel="0" collapsed="false">
      <c r="B27" s="7" t="s">
        <v>133</v>
      </c>
      <c r="C27" s="10" t="n">
        <f aca="false">C26/(1+C23)^5</f>
        <v>21106.808204318</v>
      </c>
      <c r="D27" s="10" t="n">
        <f aca="false">D26/(1+D23)^5</f>
        <v>17105.0476038207</v>
      </c>
    </row>
    <row r="28" customFormat="false" ht="15" hidden="false" customHeight="false" outlineLevel="0" collapsed="false">
      <c r="B28" s="7" t="s">
        <v>30</v>
      </c>
      <c r="C28" s="23" t="n">
        <f aca="false">C25+C27</f>
        <v>26485.1915555293</v>
      </c>
      <c r="D28" s="23" t="n">
        <f aca="false">D25+D27</f>
        <v>22483.430955032</v>
      </c>
    </row>
    <row r="29" customFormat="false" ht="15" hidden="false" customHeight="false" outlineLevel="0" collapsed="false">
      <c r="B29" s="7" t="s">
        <v>134</v>
      </c>
      <c r="C29" s="10" t="n">
        <f aca="false">-(Inputs!$C$7-Inputs!$C$8+Inputs!$C$9)</f>
        <v>-5720.31523930354</v>
      </c>
      <c r="D29" s="10" t="n">
        <f aca="false">-(Inputs!$C$7-Inputs!$C$8+Inputs!$C$9)</f>
        <v>-5720.31523930354</v>
      </c>
    </row>
    <row r="30" customFormat="false" ht="15" hidden="false" customHeight="false" outlineLevel="0" collapsed="false">
      <c r="B30" s="7" t="s">
        <v>135</v>
      </c>
      <c r="C30" s="23" t="n">
        <f aca="false">C28+C29</f>
        <v>20764.8763162258</v>
      </c>
      <c r="D30" s="23" t="n">
        <f aca="false">D28+D29</f>
        <v>16763.1157157285</v>
      </c>
    </row>
    <row r="31" customFormat="false" ht="15" hidden="false" customHeight="false" outlineLevel="0" collapsed="false">
      <c r="B31" s="7" t="s">
        <v>136</v>
      </c>
      <c r="C31" s="26" t="n">
        <f aca="false">C30/Inputs!$C$6</f>
        <v>24.3310296576542</v>
      </c>
      <c r="D31" s="26" t="n">
        <f aca="false">D30/Inputs!$C$6</f>
        <v>19.6420079475923</v>
      </c>
    </row>
    <row r="32" customFormat="false" ht="15" hidden="false" customHeight="false" outlineLevel="0" collapsed="false">
      <c r="B32" s="7" t="s">
        <v>137</v>
      </c>
      <c r="C32" s="17" t="n">
        <f aca="false">C27/C28</f>
        <v>0.7969286595517</v>
      </c>
      <c r="D32" s="17" t="n">
        <f aca="false">D27/D28</f>
        <v>0.760784581233692</v>
      </c>
    </row>
    <row r="33" customFormat="false" ht="15" hidden="false" customHeight="false" outlineLevel="0" collapsed="false">
      <c r="B33" s="7" t="s">
        <v>138</v>
      </c>
      <c r="C33" s="14" t="n">
        <f aca="false">C26/H9</f>
        <v>13.1048310596368</v>
      </c>
      <c r="D33" s="17" t="n">
        <f aca="false">(D26*D23-H18)/(D26+H18)</f>
        <v>0.0148036504891456</v>
      </c>
    </row>
    <row r="36" customFormat="false" ht="15" hidden="false" customHeight="false" outlineLevel="0" collapsed="false">
      <c r="B36" s="3" t="s">
        <v>139</v>
      </c>
    </row>
    <row r="37" customFormat="false" ht="15" hidden="false" customHeight="false" outlineLevel="0" collapsed="false">
      <c r="B37" s="2" t="s">
        <v>140</v>
      </c>
      <c r="C37" s="27" t="n">
        <v>0.015</v>
      </c>
      <c r="D37" s="27" t="n">
        <v>0.02</v>
      </c>
      <c r="E37" s="27" t="n">
        <v>0.025</v>
      </c>
      <c r="F37" s="27" t="n">
        <v>0.03</v>
      </c>
      <c r="G37" s="27" t="n">
        <v>0.035</v>
      </c>
    </row>
    <row r="38" customFormat="false" ht="15" hidden="false" customHeight="false" outlineLevel="0" collapsed="false">
      <c r="B38" s="27" t="n">
        <v>0.061</v>
      </c>
      <c r="C38" s="28" t="n">
        <f aca="false">(SUMPRODUCT($D$18:$H$18/(1+$B38)^($D$5:$H$5-0.5))+$H$18*(1+C$37)/($B38-C$37)/(1+$B38)^5-(Inputs!$C$7-Inputs!$C$8+Inputs!$C$9))/Inputs!$C$6</f>
        <v>25.4079060984015</v>
      </c>
      <c r="D38" s="28" t="n">
        <f aca="false">(SUMPRODUCT($D$18:$H$18/(1+$B38)^($D$5:$H$5-0.5))+$H$18*(1+D$37)/($B38-D$37)/(1+$B38)^5-(Inputs!$C$7-Inputs!$C$8+Inputs!$C$9))/Inputs!$C$6</f>
        <v>28.6795089084464</v>
      </c>
      <c r="E38" s="28" t="n">
        <f aca="false">(SUMPRODUCT($D$18:$H$18/(1+$B38)^($D$5:$H$5-0.5))+$H$18*(1+E$37)/($B38-E$37)/(1+$B38)^5-(Inputs!$C$7-Inputs!$C$8+Inputs!$C$9))/Inputs!$C$6</f>
        <v>32.8598902768371</v>
      </c>
      <c r="F38" s="28" t="n">
        <f aca="false">(SUMPRODUCT($D$18:$H$18/(1+$B38)^($D$5:$H$5-0.5))+$H$18*(1+F$37)/($B38-F$37)/(1+$B38)^5-(Inputs!$C$7-Inputs!$C$8+Inputs!$C$9))/Inputs!$C$6</f>
        <v>38.3887817640635</v>
      </c>
      <c r="G38" s="28" t="n">
        <f aca="false">(SUMPRODUCT($D$18:$H$18/(1+$B38)^($D$5:$H$5-0.5))+$H$18*(1+G$37)/($B38-G$37)/(1+$B38)^5-(Inputs!$C$7-Inputs!$C$8+Inputs!$C$9))/Inputs!$C$6</f>
        <v>46.0441699771463</v>
      </c>
    </row>
    <row r="39" customFormat="false" ht="15" hidden="false" customHeight="false" outlineLevel="0" collapsed="false">
      <c r="B39" s="27" t="n">
        <v>0.066</v>
      </c>
      <c r="C39" s="28" t="n">
        <f aca="false">(SUMPRODUCT($D$18:$H$18/(1+$B39)^($D$5:$H$5-0.5))+$H$18*(1+C$37)/($B39-C$37)/(1+$B39)^5-(Inputs!$C$7-Inputs!$C$8+Inputs!$C$9))/Inputs!$C$6</f>
        <v>22.2810188191864</v>
      </c>
      <c r="D39" s="28" t="n">
        <f aca="false">(SUMPRODUCT($D$18:$H$18/(1+$B39)^($D$5:$H$5-0.5))+$H$18*(1+D$37)/($B39-D$37)/(1+$B39)^5-(Inputs!$C$7-Inputs!$C$8+Inputs!$C$9))/Inputs!$C$6</f>
        <v>24.8621315328728</v>
      </c>
      <c r="E39" s="28" t="n">
        <f aca="false">(SUMPRODUCT($D$18:$H$18/(1+$B39)^($D$5:$H$5-0.5))+$H$18*(1+E$37)/($B39-E$37)/(1+$B39)^5-(Inputs!$C$7-Inputs!$C$8+Inputs!$C$9))/Inputs!$C$6</f>
        <v>28.0727839328243</v>
      </c>
      <c r="F39" s="28" t="n">
        <f aca="false">(SUMPRODUCT($D$18:$H$18/(1+$B39)^($D$5:$H$5-0.5))+$H$18*(1+F$37)/($B39-F$37)/(1+$B39)^5-(Inputs!$C$7-Inputs!$C$8+Inputs!$C$9))/Inputs!$C$6</f>
        <v>32.1752842216512</v>
      </c>
      <c r="G39" s="28" t="n">
        <f aca="false">(SUMPRODUCT($D$18:$H$18/(1+$B39)^($D$5:$H$5-0.5))+$H$18*(1+G$37)/($B39-G$37)/(1+$B39)^5-(Inputs!$C$7-Inputs!$C$8+Inputs!$C$9))/Inputs!$C$6</f>
        <v>37.6011717004222</v>
      </c>
    </row>
    <row r="40" customFormat="false" ht="15" hidden="false" customHeight="false" outlineLevel="0" collapsed="false">
      <c r="B40" s="27" t="n">
        <v>0.071</v>
      </c>
      <c r="C40" s="28" t="n">
        <f aca="false">(SUMPRODUCT($D$18:$H$18/(1+$B40)^($D$5:$H$5-0.5))+$H$18*(1+C$37)/($B40-C$37)/(1+$B40)^5-(Inputs!$C$7-Inputs!$C$8+Inputs!$C$9))/Inputs!$C$6</f>
        <v>19.7144984420672</v>
      </c>
      <c r="D40" s="28" t="n">
        <f aca="false">(SUMPRODUCT($D$18:$H$18/(1+$B40)^($D$5:$H$5-0.5))+$H$18*(1+D$37)/($B40-D$37)/(1+$B40)^5-(Inputs!$C$7-Inputs!$C$8+Inputs!$C$9))/Inputs!$C$6</f>
        <v>21.7953816716649</v>
      </c>
      <c r="E40" s="28" t="n">
        <f aca="false">(SUMPRODUCT($D$18:$H$18/(1+$B40)^($D$5:$H$5-0.5))+$H$18*(1+E$37)/($B40-E$37)/(1+$B40)^5-(Inputs!$C$7-Inputs!$C$8+Inputs!$C$9))/Inputs!$C$6</f>
        <v>24.3286308207404</v>
      </c>
      <c r="F40" s="28" t="n">
        <f aca="false">(SUMPRODUCT($D$18:$H$18/(1+$B40)^($D$5:$H$5-0.5))+$H$18*(1+F$37)/($B40-F$37)/(1+$B40)^5-(Inputs!$C$7-Inputs!$C$8+Inputs!$C$9))/Inputs!$C$6</f>
        <v>27.4797456159318</v>
      </c>
      <c r="G40" s="28" t="n">
        <f aca="false">(SUMPRODUCT($D$18:$H$18/(1+$B40)^($D$5:$H$5-0.5))+$H$18*(1+G$37)/($B40-G$37)/(1+$B40)^5-(Inputs!$C$7-Inputs!$C$8+Inputs!$C$9))/Inputs!$C$6</f>
        <v>31.5061700764542</v>
      </c>
    </row>
    <row r="41" customFormat="false" ht="15" hidden="false" customHeight="false" outlineLevel="0" collapsed="false">
      <c r="B41" s="27" t="n">
        <v>0.076</v>
      </c>
      <c r="C41" s="28" t="n">
        <f aca="false">(SUMPRODUCT($D$18:$H$18/(1+$B41)^($D$5:$H$5-0.5))+$H$18*(1+C$37)/($B41-C$37)/(1+$B41)^5-(Inputs!$C$7-Inputs!$C$8+Inputs!$C$9))/Inputs!$C$6</f>
        <v>17.5704644746081</v>
      </c>
      <c r="D41" s="28" t="n">
        <f aca="false">(SUMPRODUCT($D$18:$H$18/(1+$B41)^($D$5:$H$5-0.5))+$H$18*(1+D$37)/($B41-D$37)/(1+$B41)^5-(Inputs!$C$7-Inputs!$C$8+Inputs!$C$9))/Inputs!$C$6</f>
        <v>19.278106558504</v>
      </c>
      <c r="E41" s="28" t="n">
        <f aca="false">(SUMPRODUCT($D$18:$H$18/(1+$B41)^($D$5:$H$5-0.5))+$H$18*(1+E$37)/($B41-E$37)/(1+$B41)^5-(Inputs!$C$7-Inputs!$C$8+Inputs!$C$9))/Inputs!$C$6</f>
        <v>21.3205804235559</v>
      </c>
      <c r="F41" s="28" t="n">
        <f aca="false">(SUMPRODUCT($D$18:$H$18/(1+$B41)^($D$5:$H$5-0.5))+$H$18*(1+F$37)/($B41-F$37)/(1+$B41)^5-(Inputs!$C$7-Inputs!$C$8+Inputs!$C$9))/Inputs!$C$6</f>
        <v>23.8070703462278</v>
      </c>
      <c r="G41" s="28" t="n">
        <f aca="false">(SUMPRODUCT($D$18:$H$18/(1+$B41)^($D$5:$H$5-0.5))+$H$18*(1+G$37)/($B41-G$37)/(1+$B41)^5-(Inputs!$C$7-Inputs!$C$8+Inputs!$C$9))/Inputs!$C$6</f>
        <v>26.9000212256489</v>
      </c>
    </row>
    <row r="42" customFormat="false" ht="15" hidden="false" customHeight="false" outlineLevel="0" collapsed="false">
      <c r="B42" s="27" t="n">
        <v>0.081</v>
      </c>
      <c r="C42" s="28" t="n">
        <f aca="false">(SUMPRODUCT($D$18:$H$18/(1+$B42)^($D$5:$H$5-0.5))+$H$18*(1+C$37)/($B42-C$37)/(1+$B42)^5-(Inputs!$C$7-Inputs!$C$8+Inputs!$C$9))/Inputs!$C$6</f>
        <v>15.7528219466099</v>
      </c>
      <c r="D42" s="28" t="n">
        <f aca="false">(SUMPRODUCT($D$18:$H$18/(1+$B42)^($D$5:$H$5-0.5))+$H$18*(1+D$37)/($B42-D$37)/(1+$B42)^5-(Inputs!$C$7-Inputs!$C$8+Inputs!$C$9))/Inputs!$C$6</f>
        <v>17.1751089782766</v>
      </c>
      <c r="E42" s="28" t="n">
        <f aca="false">(SUMPRODUCT($D$18:$H$18/(1+$B42)^($D$5:$H$5-0.5))+$H$18*(1+E$37)/($B42-E$37)/(1+$B42)^5-(Inputs!$C$7-Inputs!$C$8+Inputs!$C$9))/Inputs!$C$6</f>
        <v>18.8513758370266</v>
      </c>
      <c r="F42" s="28" t="n">
        <f aca="false">(SUMPRODUCT($D$18:$H$18/(1+$B42)^($D$5:$H$5-0.5))+$H$18*(1+F$37)/($B42-F$37)/(1+$B42)^5-(Inputs!$C$7-Inputs!$C$8+Inputs!$C$9))/Inputs!$C$6</f>
        <v>20.8563224720022</v>
      </c>
      <c r="G42" s="28" t="n">
        <f aca="false">(SUMPRODUCT($D$18:$H$18/(1+$B42)^($D$5:$H$5-0.5))+$H$18*(1+G$37)/($B42-G$37)/(1+$B42)^5-(Inputs!$C$7-Inputs!$C$8+Inputs!$C$9))/Inputs!$C$6</f>
        <v>23.2971270711028</v>
      </c>
    </row>
    <row r="45" customFormat="false" ht="15" hidden="false" customHeight="false" outlineLevel="0" collapsed="false">
      <c r="B45" s="3" t="s">
        <v>141</v>
      </c>
    </row>
    <row r="46" customFormat="false" ht="15" hidden="false" customHeight="false" outlineLevel="0" collapsed="false">
      <c r="B46" s="2" t="s">
        <v>142</v>
      </c>
      <c r="C46" s="29" t="n">
        <v>8.6</v>
      </c>
      <c r="D46" s="29" t="n">
        <v>9.6</v>
      </c>
      <c r="E46" s="29" t="n">
        <v>10.6</v>
      </c>
      <c r="F46" s="29" t="n">
        <v>11.6</v>
      </c>
      <c r="G46" s="29" t="n">
        <v>12.6</v>
      </c>
    </row>
    <row r="47" customFormat="false" ht="15" hidden="false" customHeight="false" outlineLevel="0" collapsed="false">
      <c r="B47" s="27" t="n">
        <v>0.061</v>
      </c>
      <c r="C47" s="28" t="n">
        <f aca="false">(SUMPRODUCT($D$18:$H$18/(1+$B47)^($D$5:$H$5-0.5))+$H$9*C$46/(1+$B47)^5-(Inputs!$C$7-Inputs!$C$8+Inputs!$C$9))/Inputs!$C$6</f>
        <v>16.7530620088594</v>
      </c>
      <c r="D47" s="28" t="n">
        <f aca="false">(SUMPRODUCT($D$18:$H$18/(1+$B47)^($D$5:$H$5-0.5))+$H$9*D$46/(1+$B47)^5-(Inputs!$C$7-Inputs!$C$8+Inputs!$C$9))/Inputs!$C$6</f>
        <v>18.7308758975778</v>
      </c>
      <c r="E47" s="28" t="n">
        <f aca="false">(SUMPRODUCT($D$18:$H$18/(1+$B47)^($D$5:$H$5-0.5))+$H$9*E$46/(1+$B47)^5-(Inputs!$C$7-Inputs!$C$8+Inputs!$C$9))/Inputs!$C$6</f>
        <v>20.7086897862961</v>
      </c>
      <c r="F47" s="28" t="n">
        <f aca="false">(SUMPRODUCT($D$18:$H$18/(1+$B47)^($D$5:$H$5-0.5))+$H$9*F$46/(1+$B47)^5-(Inputs!$C$7-Inputs!$C$8+Inputs!$C$9))/Inputs!$C$6</f>
        <v>22.6865036750145</v>
      </c>
      <c r="G47" s="28" t="n">
        <f aca="false">(SUMPRODUCT($D$18:$H$18/(1+$B47)^($D$5:$H$5-0.5))+$H$9*G$46/(1+$B47)^5-(Inputs!$C$7-Inputs!$C$8+Inputs!$C$9))/Inputs!$C$6</f>
        <v>24.6643175637329</v>
      </c>
    </row>
    <row r="48" customFormat="false" ht="15" hidden="false" customHeight="false" outlineLevel="0" collapsed="false">
      <c r="B48" s="27" t="n">
        <v>0.066</v>
      </c>
      <c r="C48" s="28" t="n">
        <f aca="false">(SUMPRODUCT($D$18:$H$18/(1+$B48)^($D$5:$H$5-0.5))+$H$9*C$46/(1+$B48)^5-(Inputs!$C$7-Inputs!$C$8+Inputs!$C$9))/Inputs!$C$6</f>
        <v>16.2848804116711</v>
      </c>
      <c r="D48" s="28" t="n">
        <f aca="false">(SUMPRODUCT($D$18:$H$18/(1+$B48)^($D$5:$H$5-0.5))+$H$9*D$46/(1+$B48)^5-(Inputs!$C$7-Inputs!$C$8+Inputs!$C$9))/Inputs!$C$6</f>
        <v>18.2167433832223</v>
      </c>
      <c r="E48" s="28" t="n">
        <f aca="false">(SUMPRODUCT($D$18:$H$18/(1+$B48)^($D$5:$H$5-0.5))+$H$9*E$46/(1+$B48)^5-(Inputs!$C$7-Inputs!$C$8+Inputs!$C$9))/Inputs!$C$6</f>
        <v>20.1486063547735</v>
      </c>
      <c r="F48" s="28" t="n">
        <f aca="false">(SUMPRODUCT($D$18:$H$18/(1+$B48)^($D$5:$H$5-0.5))+$H$9*F$46/(1+$B48)^5-(Inputs!$C$7-Inputs!$C$8+Inputs!$C$9))/Inputs!$C$6</f>
        <v>22.0804693263248</v>
      </c>
      <c r="G48" s="28" t="n">
        <f aca="false">(SUMPRODUCT($D$18:$H$18/(1+$B48)^($D$5:$H$5-0.5))+$H$9*G$46/(1+$B48)^5-(Inputs!$C$7-Inputs!$C$8+Inputs!$C$9))/Inputs!$C$6</f>
        <v>24.012332297876</v>
      </c>
    </row>
    <row r="49" customFormat="false" ht="15" hidden="false" customHeight="false" outlineLevel="0" collapsed="false">
      <c r="B49" s="27" t="n">
        <v>0.071</v>
      </c>
      <c r="C49" s="28" t="n">
        <f aca="false">(SUMPRODUCT($D$18:$H$18/(1+$B49)^($D$5:$H$5-0.5))+$H$9*C$46/(1+$B49)^5-(Inputs!$C$7-Inputs!$C$8+Inputs!$C$9))/Inputs!$C$6</f>
        <v>15.8291040107615</v>
      </c>
      <c r="D49" s="28" t="n">
        <f aca="false">(SUMPRODUCT($D$18:$H$18/(1+$B49)^($D$5:$H$5-0.5))+$H$9*D$46/(1+$B49)^5-(Inputs!$C$7-Inputs!$C$8+Inputs!$C$9))/Inputs!$C$6</f>
        <v>17.7162912341885</v>
      </c>
      <c r="E49" s="28" t="n">
        <f aca="false">(SUMPRODUCT($D$18:$H$18/(1+$B49)^($D$5:$H$5-0.5))+$H$9*E$46/(1+$B49)^5-(Inputs!$C$7-Inputs!$C$8+Inputs!$C$9))/Inputs!$C$6</f>
        <v>19.6034784576155</v>
      </c>
      <c r="F49" s="28" t="n">
        <f aca="false">(SUMPRODUCT($D$18:$H$18/(1+$B49)^($D$5:$H$5-0.5))+$H$9*F$46/(1+$B49)^5-(Inputs!$C$7-Inputs!$C$8+Inputs!$C$9))/Inputs!$C$6</f>
        <v>21.4906656810425</v>
      </c>
      <c r="G49" s="28" t="n">
        <f aca="false">(SUMPRODUCT($D$18:$H$18/(1+$B49)^($D$5:$H$5-0.5))+$H$9*G$46/(1+$B49)^5-(Inputs!$C$7-Inputs!$C$8+Inputs!$C$9))/Inputs!$C$6</f>
        <v>23.3778529044695</v>
      </c>
    </row>
    <row r="50" customFormat="false" ht="15" hidden="false" customHeight="false" outlineLevel="0" collapsed="false">
      <c r="B50" s="27" t="n">
        <v>0.076</v>
      </c>
      <c r="C50" s="28" t="n">
        <f aca="false">(SUMPRODUCT($D$18:$H$18/(1+$B50)^($D$5:$H$5-0.5))+$H$9*C$46/(1+$B50)^5-(Inputs!$C$7-Inputs!$C$8+Inputs!$C$9))/Inputs!$C$6</f>
        <v>15.3853423674174</v>
      </c>
      <c r="D50" s="28" t="n">
        <f aca="false">(SUMPRODUCT($D$18:$H$18/(1+$B50)^($D$5:$H$5-0.5))+$H$9*D$46/(1+$B50)^5-(Inputs!$C$7-Inputs!$C$8+Inputs!$C$9))/Inputs!$C$6</f>
        <v>17.2290879175159</v>
      </c>
      <c r="E50" s="28" t="n">
        <f aca="false">(SUMPRODUCT($D$18:$H$18/(1+$B50)^($D$5:$H$5-0.5))+$H$9*E$46/(1+$B50)^5-(Inputs!$C$7-Inputs!$C$8+Inputs!$C$9))/Inputs!$C$6</f>
        <v>19.0728334676143</v>
      </c>
      <c r="F50" s="28" t="n">
        <f aca="false">(SUMPRODUCT($D$18:$H$18/(1+$B50)^($D$5:$H$5-0.5))+$H$9*F$46/(1+$B50)^5-(Inputs!$C$7-Inputs!$C$8+Inputs!$C$9))/Inputs!$C$6</f>
        <v>20.9165790177128</v>
      </c>
      <c r="G50" s="28" t="n">
        <f aca="false">(SUMPRODUCT($D$18:$H$18/(1+$B50)^($D$5:$H$5-0.5))+$H$9*G$46/(1+$B50)^5-(Inputs!$C$7-Inputs!$C$8+Inputs!$C$9))/Inputs!$C$6</f>
        <v>22.7603245678112</v>
      </c>
    </row>
    <row r="51" customFormat="false" ht="15" hidden="false" customHeight="false" outlineLevel="0" collapsed="false">
      <c r="B51" s="27" t="n">
        <v>0.081</v>
      </c>
      <c r="C51" s="28" t="n">
        <f aca="false">(SUMPRODUCT($D$18:$H$18/(1+$B51)^($D$5:$H$5-0.5))+$H$9*C$46/(1+$B51)^5-(Inputs!$C$7-Inputs!$C$8+Inputs!$C$9))/Inputs!$C$6</f>
        <v>14.953219149724</v>
      </c>
      <c r="D51" s="28" t="n">
        <f aca="false">(SUMPRODUCT($D$18:$H$18/(1+$B51)^($D$5:$H$5-0.5))+$H$9*D$46/(1+$B51)^5-(Inputs!$C$7-Inputs!$C$8+Inputs!$C$9))/Inputs!$C$6</f>
        <v>16.7547175136092</v>
      </c>
      <c r="E51" s="28" t="n">
        <f aca="false">(SUMPRODUCT($D$18:$H$18/(1+$B51)^($D$5:$H$5-0.5))+$H$9*E$46/(1+$B51)^5-(Inputs!$C$7-Inputs!$C$8+Inputs!$C$9))/Inputs!$C$6</f>
        <v>18.5562158774944</v>
      </c>
      <c r="F51" s="28" t="n">
        <f aca="false">(SUMPRODUCT($D$18:$H$18/(1+$B51)^($D$5:$H$5-0.5))+$H$9*F$46/(1+$B51)^5-(Inputs!$C$7-Inputs!$C$8+Inputs!$C$9))/Inputs!$C$6</f>
        <v>20.3577142413796</v>
      </c>
      <c r="G51" s="28" t="n">
        <f aca="false">(SUMPRODUCT($D$18:$H$18/(1+$B51)^($D$5:$H$5-0.5))+$H$9*G$46/(1+$B51)^5-(Inputs!$C$7-Inputs!$C$8+Inputs!$C$9))/Inputs!$C$6</f>
        <v>22.1592126052648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2.71"/>
    <col collapsed="false" customWidth="true" hidden="false" outlineLevel="0" max="9" min="3" style="0" width="12.71"/>
  </cols>
  <sheetData>
    <row r="2" customFormat="false" ht="17.35" hidden="false" customHeight="false" outlineLevel="0" collapsed="false">
      <c r="B2" s="1" t="s">
        <v>143</v>
      </c>
    </row>
    <row r="3" customFormat="false" ht="15" hidden="false" customHeight="false" outlineLevel="0" collapsed="false">
      <c r="B3" s="2" t="s">
        <v>144</v>
      </c>
    </row>
    <row r="5" customFormat="false" ht="15" hidden="false" customHeight="false" outlineLevel="0" collapsed="false">
      <c r="B5" s="0" t="s">
        <v>145</v>
      </c>
      <c r="C5" s="30" t="n">
        <f aca="false">Inputs!$C$28</f>
        <v>13.1333481087622</v>
      </c>
    </row>
    <row r="6" customFormat="false" ht="15" hidden="false" customHeight="false" outlineLevel="0" collapsed="false">
      <c r="B6" s="0" t="s">
        <v>146</v>
      </c>
      <c r="C6" s="10" t="n">
        <f aca="false">C5*Inputs!$C$6</f>
        <v>11208.4179310757</v>
      </c>
    </row>
    <row r="7" customFormat="false" ht="15" hidden="false" customHeight="false" outlineLevel="0" collapsed="false">
      <c r="B7" s="0" t="s">
        <v>147</v>
      </c>
      <c r="C7" s="10" t="n">
        <f aca="false">(Inputs!$C$7-Inputs!$C$8+Inputs!$C$9)</f>
        <v>5720.31523930354</v>
      </c>
    </row>
    <row r="8" customFormat="false" ht="15" hidden="false" customHeight="false" outlineLevel="0" collapsed="false">
      <c r="B8" s="0" t="s">
        <v>148</v>
      </c>
      <c r="C8" s="23" t="n">
        <f aca="false">C6+C7</f>
        <v>16928.7331703792</v>
      </c>
    </row>
    <row r="9" customFormat="false" ht="15" hidden="false" customHeight="false" outlineLevel="0" collapsed="false">
      <c r="B9" s="0" t="s">
        <v>149</v>
      </c>
      <c r="C9" s="14" t="n">
        <f aca="false">C8/Inputs!$C$11</f>
        <v>8.12465151071572</v>
      </c>
    </row>
    <row r="10" customFormat="false" ht="15" hidden="false" customHeight="false" outlineLevel="0" collapsed="false">
      <c r="B10" s="0" t="s">
        <v>150</v>
      </c>
      <c r="C10" s="10" t="n">
        <f aca="false">C8*Inputs!$C$27</f>
        <v>338.574663407584</v>
      </c>
    </row>
    <row r="11" customFormat="false" ht="15" hidden="false" customHeight="false" outlineLevel="0" collapsed="false">
      <c r="B11" s="0" t="s">
        <v>151</v>
      </c>
      <c r="C11" s="10" t="n">
        <f aca="false">Inputs!$C$25*Inputs!$C$11</f>
        <v>10418.1287948484</v>
      </c>
    </row>
    <row r="12" customFormat="false" ht="15" hidden="false" customHeight="false" outlineLevel="0" collapsed="false">
      <c r="B12" s="0" t="s">
        <v>152</v>
      </c>
      <c r="C12" s="23" t="n">
        <f aca="false">C8+C10-C11</f>
        <v>6849.17903893838</v>
      </c>
    </row>
    <row r="13" customFormat="false" ht="15" hidden="false" customHeight="false" outlineLevel="0" collapsed="false">
      <c r="B13" s="0" t="s">
        <v>153</v>
      </c>
      <c r="C13" s="17" t="n">
        <f aca="false">C5/Inputs!$C$5-1</f>
        <v>-0.34333259456189</v>
      </c>
    </row>
    <row r="16" customFormat="false" ht="15" hidden="false" customHeight="false" outlineLevel="0" collapsed="false">
      <c r="C16" s="13" t="s">
        <v>154</v>
      </c>
      <c r="D16" s="13" t="s">
        <v>44</v>
      </c>
      <c r="E16" s="13" t="s">
        <v>45</v>
      </c>
      <c r="F16" s="13" t="s">
        <v>46</v>
      </c>
      <c r="G16" s="13" t="s">
        <v>47</v>
      </c>
      <c r="H16" s="13" t="s">
        <v>48</v>
      </c>
    </row>
    <row r="17" customFormat="false" ht="15" hidden="false" customHeight="false" outlineLevel="0" collapsed="false">
      <c r="B17" s="7" t="s">
        <v>115</v>
      </c>
      <c r="D17" s="22" t="n">
        <f aca="false">DCF!D9</f>
        <v>2065.67690410709</v>
      </c>
      <c r="E17" s="22" t="n">
        <f aca="false">DCF!E9</f>
        <v>2112.38302966295</v>
      </c>
      <c r="F17" s="22" t="n">
        <f aca="false">DCF!F9</f>
        <v>2161.82767326087</v>
      </c>
      <c r="G17" s="22" t="n">
        <f aca="false">DCF!G9</f>
        <v>2214.15151746233</v>
      </c>
      <c r="H17" s="22" t="n">
        <f aca="false">DCF!H9</f>
        <v>2269.50530539889</v>
      </c>
    </row>
    <row r="18" customFormat="false" ht="15" hidden="false" customHeight="false" outlineLevel="0" collapsed="false">
      <c r="B18" s="7" t="s">
        <v>117</v>
      </c>
      <c r="D18" s="22" t="n">
        <f aca="false">DCF!D11</f>
        <v>419.033842390062</v>
      </c>
      <c r="E18" s="22" t="n">
        <f aca="false">DCF!E11</f>
        <v>428.508435060345</v>
      </c>
      <c r="F18" s="22" t="n">
        <f aca="false">DCF!F11</f>
        <v>438.5385510728</v>
      </c>
      <c r="G18" s="22" t="n">
        <f aca="false">DCF!G11</f>
        <v>449.15272865341</v>
      </c>
      <c r="H18" s="22" t="n">
        <f aca="false">DCF!H11</f>
        <v>460.381546869745</v>
      </c>
    </row>
    <row r="19" customFormat="false" ht="15" hidden="false" customHeight="false" outlineLevel="0" collapsed="false">
      <c r="B19" s="7" t="s">
        <v>155</v>
      </c>
      <c r="D19" s="10" t="n">
        <f aca="false">C25*Inputs!$C$26</f>
        <v>885.540947562115</v>
      </c>
      <c r="E19" s="10" t="n">
        <f aca="false">D25*Inputs!$C$26</f>
        <v>839.934648388393</v>
      </c>
      <c r="F19" s="10" t="n">
        <f aca="false">E25*Inputs!$C$26</f>
        <v>789.081078098892</v>
      </c>
      <c r="G19" s="10" t="n">
        <f aca="false">F25*Inputs!$C$26</f>
        <v>732.50309132149</v>
      </c>
      <c r="H19" s="10" t="n">
        <f aca="false">G25*Inputs!$C$26</f>
        <v>669.685575729688</v>
      </c>
    </row>
    <row r="20" customFormat="false" ht="15" hidden="false" customHeight="false" outlineLevel="0" collapsed="false">
      <c r="B20" s="7" t="s">
        <v>119</v>
      </c>
      <c r="D20" s="10" t="n">
        <f aca="false">MAX(0,D17-D18-D19)*Inputs!$C$19</f>
        <v>175.05348625563</v>
      </c>
      <c r="E20" s="10" t="n">
        <f aca="false">MAX(0,E17-E18-E19)*Inputs!$C$19</f>
        <v>194.106187629269</v>
      </c>
      <c r="F20" s="10" t="n">
        <f aca="false">MAX(0,F17-F18-F19)*Inputs!$C$19</f>
        <v>214.867850140511</v>
      </c>
      <c r="G20" s="10" t="n">
        <f aca="false">MAX(0,G17-G18-G19)*Inputs!$C$19</f>
        <v>237.47401042211</v>
      </c>
      <c r="H20" s="10" t="n">
        <f aca="false">MAX(0,H17-H18-H19)*Inputs!$C$19</f>
        <v>262.070782043876</v>
      </c>
    </row>
    <row r="21" customFormat="false" ht="15" hidden="false" customHeight="false" outlineLevel="0" collapsed="false">
      <c r="B21" s="7" t="s">
        <v>156</v>
      </c>
      <c r="D21" s="22" t="n">
        <f aca="false">-DCF!D16</f>
        <v>442.978633383779</v>
      </c>
      <c r="E21" s="22" t="n">
        <f aca="false">-DCF!E16</f>
        <v>452.994631349507</v>
      </c>
      <c r="F21" s="22" t="n">
        <f aca="false">-DCF!F16</f>
        <v>463.597896848388</v>
      </c>
      <c r="G21" s="22" t="n">
        <f aca="false">-DCF!G16</f>
        <v>474.818598862177</v>
      </c>
      <c r="H21" s="22" t="n">
        <f aca="false">-DCF!H16</f>
        <v>486.689063833731</v>
      </c>
    </row>
    <row r="22" customFormat="false" ht="15" hidden="false" customHeight="false" outlineLevel="0" collapsed="false">
      <c r="B22" s="7" t="s">
        <v>157</v>
      </c>
      <c r="D22" s="22" t="n">
        <f aca="false">-DCF!D17</f>
        <v>25.5591407441225</v>
      </c>
      <c r="E22" s="22" t="n">
        <f aca="false">-DCF!E17</f>
        <v>27.0702647722366</v>
      </c>
      <c r="F22" s="22" t="n">
        <f aca="false">-DCF!F17</f>
        <v>28.6574743213003</v>
      </c>
      <c r="G22" s="22" t="n">
        <f aca="false">-DCF!G17</f>
        <v>30.3262216588875</v>
      </c>
      <c r="H22" s="22" t="n">
        <f aca="false">-DCF!H17</f>
        <v>32.0823377609577</v>
      </c>
    </row>
    <row r="23" customFormat="false" ht="15" hidden="false" customHeight="false" outlineLevel="0" collapsed="false">
      <c r="B23" s="3" t="s">
        <v>158</v>
      </c>
      <c r="D23" s="23" t="n">
        <f aca="false">D17-D19-D20-D21-D22</f>
        <v>536.544696161442</v>
      </c>
      <c r="E23" s="23" t="n">
        <f aca="false">E17-E19-E20-E21-E22</f>
        <v>598.277297523545</v>
      </c>
      <c r="F23" s="23" t="n">
        <f aca="false">F17-F19-F20-F21-F22</f>
        <v>665.623373851779</v>
      </c>
      <c r="G23" s="23" t="n">
        <f aca="false">G17-G19-G20-G21-G22</f>
        <v>739.029595197671</v>
      </c>
      <c r="H23" s="23" t="n">
        <f aca="false">H17-H19-H20-H21-H22</f>
        <v>818.977546030641</v>
      </c>
    </row>
    <row r="24" customFormat="false" ht="15" hidden="false" customHeight="false" outlineLevel="0" collapsed="false">
      <c r="B24" s="7" t="s">
        <v>159</v>
      </c>
      <c r="D24" s="10" t="n">
        <f aca="false">MIN(C25,MAX(D23,0))</f>
        <v>536.544696161442</v>
      </c>
      <c r="E24" s="10" t="n">
        <f aca="false">MIN(D25,MAX(E23,0))</f>
        <v>598.277297523545</v>
      </c>
      <c r="F24" s="10" t="n">
        <f aca="false">MIN(E25,MAX(F23,0))</f>
        <v>665.623373851779</v>
      </c>
      <c r="G24" s="10" t="n">
        <f aca="false">MIN(F25,MAX(G23,0))</f>
        <v>739.029595197671</v>
      </c>
      <c r="H24" s="10" t="n">
        <f aca="false">MIN(G25,MAX(H23,0))</f>
        <v>818.977546030641</v>
      </c>
    </row>
    <row r="25" customFormat="false" ht="15" hidden="false" customHeight="false" outlineLevel="0" collapsed="false">
      <c r="B25" s="3" t="s">
        <v>160</v>
      </c>
      <c r="C25" s="10" t="n">
        <f aca="false">C11</f>
        <v>10418.1287948484</v>
      </c>
      <c r="D25" s="10" t="n">
        <f aca="false">C25-D24</f>
        <v>9881.58409868697</v>
      </c>
      <c r="E25" s="10" t="n">
        <f aca="false">D25-E24</f>
        <v>9283.30680116343</v>
      </c>
      <c r="F25" s="10" t="n">
        <f aca="false">E25-F24</f>
        <v>8617.68342731165</v>
      </c>
      <c r="G25" s="10" t="n">
        <f aca="false">F25-G24</f>
        <v>7878.65383211398</v>
      </c>
      <c r="H25" s="10" t="n">
        <f aca="false">G25-H24</f>
        <v>7059.67628608334</v>
      </c>
    </row>
    <row r="26" customFormat="false" ht="15" hidden="false" customHeight="false" outlineLevel="0" collapsed="false">
      <c r="B26" s="7" t="s">
        <v>161</v>
      </c>
      <c r="C26" s="10" t="n">
        <v>0</v>
      </c>
      <c r="D26" s="10" t="n">
        <f aca="false">C26+D23-D24</f>
        <v>0</v>
      </c>
      <c r="E26" s="10" t="n">
        <f aca="false">D26+E23-E24</f>
        <v>0</v>
      </c>
      <c r="F26" s="10" t="n">
        <f aca="false">E26+F23-F24</f>
        <v>0</v>
      </c>
      <c r="G26" s="10" t="n">
        <f aca="false">F26+G23-G24</f>
        <v>0</v>
      </c>
      <c r="H26" s="10" t="n">
        <f aca="false">G26+H23-H24</f>
        <v>0</v>
      </c>
    </row>
    <row r="27" customFormat="false" ht="15" hidden="false" customHeight="false" outlineLevel="0" collapsed="false">
      <c r="B27" s="7" t="s">
        <v>162</v>
      </c>
      <c r="D27" s="14" t="n">
        <f aca="false">(D25-D26)/D17</f>
        <v>4.78370265893949</v>
      </c>
      <c r="E27" s="14" t="n">
        <f aca="false">(E25-E26)/E17</f>
        <v>4.3947080954559</v>
      </c>
      <c r="F27" s="14" t="n">
        <f aca="false">(F25-F26)/F17</f>
        <v>3.98629526946191</v>
      </c>
      <c r="G27" s="14" t="n">
        <f aca="false">(G25-G26)/G17</f>
        <v>3.55831738251761</v>
      </c>
      <c r="H27" s="14" t="n">
        <f aca="false">(H25-H26)/H17</f>
        <v>3.11066745219285</v>
      </c>
    </row>
    <row r="30" customFormat="false" ht="15" hidden="false" customHeight="false" outlineLevel="0" collapsed="false">
      <c r="B30" s="0" t="s">
        <v>163</v>
      </c>
      <c r="C30" s="10" t="n">
        <f aca="false">Inputs!$C$21*H17</f>
        <v>24102.6254722545</v>
      </c>
    </row>
    <row r="31" customFormat="false" ht="15" hidden="false" customHeight="false" outlineLevel="0" collapsed="false">
      <c r="B31" s="0" t="s">
        <v>164</v>
      </c>
      <c r="C31" s="10" t="n">
        <f aca="false">-H25</f>
        <v>-7059.67628608334</v>
      </c>
    </row>
    <row r="32" customFormat="false" ht="15" hidden="false" customHeight="false" outlineLevel="0" collapsed="false">
      <c r="B32" s="0" t="s">
        <v>165</v>
      </c>
      <c r="C32" s="10" t="n">
        <f aca="false">H26</f>
        <v>0</v>
      </c>
    </row>
    <row r="33" customFormat="false" ht="15" hidden="false" customHeight="false" outlineLevel="0" collapsed="false">
      <c r="B33" s="0" t="s">
        <v>166</v>
      </c>
      <c r="C33" s="23" t="n">
        <f aca="false">SUM(C30:C32)</f>
        <v>17042.9491861712</v>
      </c>
    </row>
    <row r="34" customFormat="false" ht="15" hidden="false" customHeight="false" outlineLevel="0" collapsed="false">
      <c r="B34" s="0" t="s">
        <v>167</v>
      </c>
      <c r="C34" s="14" t="n">
        <f aca="false">C33/C12</f>
        <v>2.48832</v>
      </c>
    </row>
    <row r="35" customFormat="false" ht="15" hidden="false" customHeight="false" outlineLevel="0" collapsed="false">
      <c r="B35" s="0" t="s">
        <v>168</v>
      </c>
      <c r="C35" s="31" t="n">
        <f aca="false">C34^(1/5)-1</f>
        <v>0.2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30.71"/>
    <col collapsed="false" customWidth="true" hidden="false" outlineLevel="0" max="5" min="3" style="0" width="12.71"/>
  </cols>
  <sheetData>
    <row r="2" customFormat="false" ht="17.35" hidden="false" customHeight="false" outlineLevel="0" collapsed="false">
      <c r="B2" s="1" t="s">
        <v>169</v>
      </c>
    </row>
    <row r="4" customFormat="false" ht="15" hidden="false" customHeight="false" outlineLevel="0" collapsed="false">
      <c r="B4" s="13" t="s">
        <v>170</v>
      </c>
      <c r="C4" s="13" t="s">
        <v>171</v>
      </c>
      <c r="D4" s="13" t="s">
        <v>172</v>
      </c>
      <c r="E4" s="13" t="s">
        <v>173</v>
      </c>
    </row>
    <row r="5" customFormat="false" ht="15" hidden="false" customHeight="false" outlineLevel="0" collapsed="false">
      <c r="B5" s="0" t="s">
        <v>174</v>
      </c>
      <c r="C5" s="8" t="n">
        <v>17.5726065547734</v>
      </c>
      <c r="D5" s="8" t="n">
        <v>22.3008153616995</v>
      </c>
      <c r="E5" s="15" t="n">
        <f aca="false">D5-C5</f>
        <v>4.72820880692604</v>
      </c>
    </row>
    <row r="6" customFormat="false" ht="15" hidden="false" customHeight="false" outlineLevel="0" collapsed="false">
      <c r="B6" s="0" t="s">
        <v>175</v>
      </c>
      <c r="C6" s="8" t="n">
        <v>17.6</v>
      </c>
      <c r="D6" s="8" t="n">
        <v>24.4</v>
      </c>
      <c r="E6" s="15" t="n">
        <f aca="false">D6-C6</f>
        <v>6.8</v>
      </c>
    </row>
    <row r="7" customFormat="false" ht="15" hidden="false" customHeight="false" outlineLevel="0" collapsed="false">
      <c r="B7" s="0" t="s">
        <v>94</v>
      </c>
      <c r="C7" s="30" t="n">
        <f aca="false">Comps!$D$19</f>
        <v>17.2807127454841</v>
      </c>
      <c r="D7" s="30" t="n">
        <f aca="false">Comps!$E$19</f>
        <v>20.5586000578351</v>
      </c>
      <c r="E7" s="15" t="n">
        <f aca="false">D7-C7</f>
        <v>3.27788731235097</v>
      </c>
    </row>
    <row r="8" customFormat="false" ht="15" hidden="false" customHeight="false" outlineLevel="0" collapsed="false">
      <c r="B8" s="0" t="s">
        <v>95</v>
      </c>
      <c r="C8" s="30" t="n">
        <f aca="false">Comps!$D$20</f>
        <v>16.8415387596065</v>
      </c>
      <c r="D8" s="30" t="n">
        <f aca="false">Comps!$E$20</f>
        <v>21.3796786377202</v>
      </c>
      <c r="E8" s="15" t="n">
        <f aca="false">D8-C8</f>
        <v>4.53813987811374</v>
      </c>
    </row>
    <row r="9" customFormat="false" ht="15" hidden="false" customHeight="false" outlineLevel="0" collapsed="false">
      <c r="B9" s="0" t="s">
        <v>176</v>
      </c>
      <c r="C9" s="8" t="n">
        <v>21.3741500347591</v>
      </c>
      <c r="D9" s="8" t="n">
        <v>28.4544043140612</v>
      </c>
      <c r="E9" s="15" t="n">
        <f aca="false">D9-C9</f>
        <v>7.08025427930209</v>
      </c>
    </row>
    <row r="10" customFormat="false" ht="15" hidden="false" customHeight="false" outlineLevel="0" collapsed="false">
      <c r="B10" s="0" t="s">
        <v>177</v>
      </c>
      <c r="C10" s="8" t="n">
        <v>24</v>
      </c>
      <c r="D10" s="8" t="n">
        <v>28</v>
      </c>
      <c r="E10" s="15" t="n">
        <f aca="false">D10-C10</f>
        <v>4</v>
      </c>
    </row>
    <row r="11" customFormat="false" ht="15" hidden="false" customHeight="false" outlineLevel="0" collapsed="false">
      <c r="B11" s="0" t="s">
        <v>178</v>
      </c>
      <c r="C11" s="30" t="n">
        <f aca="false">MIN(DCF!D39:F41)</f>
        <v>19.278106558504</v>
      </c>
      <c r="D11" s="30" t="n">
        <f aca="false">MAX(DCF!D39:F41)</f>
        <v>32.1752842216512</v>
      </c>
      <c r="E11" s="15" t="n">
        <f aca="false">D11-C11</f>
        <v>12.8971776631472</v>
      </c>
    </row>
    <row r="12" customFormat="false" ht="15" hidden="false" customHeight="false" outlineLevel="0" collapsed="false">
      <c r="B12" s="0" t="s">
        <v>179</v>
      </c>
      <c r="C12" s="30" t="n">
        <f aca="false">MIN(DCF!D48:F50)</f>
        <v>17.2290879175159</v>
      </c>
      <c r="D12" s="30" t="n">
        <f aca="false">MAX(DCF!D48:F50)</f>
        <v>22.0804693263248</v>
      </c>
      <c r="E12" s="15" t="n">
        <f aca="false">D12-C12</f>
        <v>4.85138140880887</v>
      </c>
    </row>
    <row r="13" customFormat="false" ht="15" hidden="false" customHeight="false" outlineLevel="0" collapsed="false">
      <c r="B13" s="0" t="s">
        <v>180</v>
      </c>
      <c r="C13" s="8" t="n">
        <v>11.022324131644</v>
      </c>
      <c r="D13" s="8" t="n">
        <v>13.6697870693212</v>
      </c>
      <c r="E13" s="15" t="n">
        <f aca="false">D13-C13</f>
        <v>2.64746293767728</v>
      </c>
    </row>
    <row r="15" customFormat="false" ht="15" hidden="false" customHeight="false" outlineLevel="0" collapsed="false">
      <c r="B15" s="0" t="s">
        <v>181</v>
      </c>
      <c r="C15" s="30" t="n">
        <f aca="false">Inputs!$C$5</f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12.71"/>
    <col collapsed="false" customWidth="true" hidden="false" outlineLevel="0" max="3" min="3" style="0" width="34.71"/>
    <col collapsed="false" customWidth="true" hidden="false" outlineLevel="0" max="11" min="4" style="0" width="14.71"/>
  </cols>
  <sheetData>
    <row r="2" customFormat="false" ht="17.35" hidden="false" customHeight="false" outlineLevel="0" collapsed="false">
      <c r="B2" s="1" t="s">
        <v>182</v>
      </c>
    </row>
    <row r="4" customFormat="false" ht="30" hidden="false" customHeight="true" outlineLevel="0" collapsed="false">
      <c r="B4" s="13" t="s">
        <v>56</v>
      </c>
      <c r="C4" s="13" t="s">
        <v>57</v>
      </c>
      <c r="D4" s="13" t="s">
        <v>183</v>
      </c>
      <c r="E4" s="13" t="s">
        <v>162</v>
      </c>
      <c r="F4" s="13" t="s">
        <v>184</v>
      </c>
      <c r="G4" s="13" t="s">
        <v>185</v>
      </c>
      <c r="H4" s="13" t="s">
        <v>186</v>
      </c>
      <c r="I4" s="13" t="s">
        <v>187</v>
      </c>
      <c r="J4" s="13" t="s">
        <v>188</v>
      </c>
    </row>
    <row r="5" customFormat="false" ht="15" hidden="false" customHeight="false" outlineLevel="0" collapsed="false">
      <c r="B5" s="7" t="s">
        <v>189</v>
      </c>
      <c r="C5" s="7" t="s">
        <v>190</v>
      </c>
      <c r="D5" s="10" t="n">
        <v>176319.936659814</v>
      </c>
      <c r="E5" s="14" t="n">
        <v>1.75559296043678</v>
      </c>
      <c r="F5" s="17" t="n">
        <v>0.158289213214298</v>
      </c>
      <c r="G5" s="14" t="n">
        <v>3.01332651334303</v>
      </c>
      <c r="H5" s="14" t="n">
        <v>17.9975371791229</v>
      </c>
      <c r="I5" s="7" t="s">
        <v>191</v>
      </c>
      <c r="J5" s="7" t="s">
        <v>192</v>
      </c>
    </row>
    <row r="6" customFormat="false" ht="15" hidden="false" customHeight="false" outlineLevel="0" collapsed="false">
      <c r="B6" s="7" t="s">
        <v>193</v>
      </c>
      <c r="C6" s="7" t="s">
        <v>194</v>
      </c>
      <c r="D6" s="10" t="n">
        <v>88683.221333386</v>
      </c>
      <c r="E6" s="14" t="n">
        <v>1.87380329417274</v>
      </c>
      <c r="F6" s="17" t="n">
        <v>0.31471053518632</v>
      </c>
      <c r="G6" s="14" t="n">
        <v>4.2491321256221</v>
      </c>
      <c r="H6" s="14" t="n">
        <v>18.7634862557463</v>
      </c>
      <c r="I6" s="7" t="s">
        <v>195</v>
      </c>
      <c r="J6" s="7" t="s">
        <v>192</v>
      </c>
    </row>
    <row r="7" customFormat="false" ht="15" hidden="false" customHeight="false" outlineLevel="0" collapsed="false">
      <c r="B7" s="7" t="s">
        <v>196</v>
      </c>
      <c r="C7" s="7" t="s">
        <v>197</v>
      </c>
      <c r="D7" s="10" t="n">
        <v>72901.1978349302</v>
      </c>
      <c r="E7" s="14" t="n">
        <v>2.71571071252249</v>
      </c>
      <c r="F7" s="17" t="n">
        <v>0.382840678572556</v>
      </c>
      <c r="G7" s="14" t="n">
        <v>4.79415593956198</v>
      </c>
      <c r="H7" s="14" t="n">
        <v>16.6571482962117</v>
      </c>
      <c r="I7" s="7" t="s">
        <v>195</v>
      </c>
      <c r="J7" s="7" t="s">
        <v>192</v>
      </c>
    </row>
    <row r="8" customFormat="false" ht="15" hidden="false" customHeight="false" outlineLevel="0" collapsed="false">
      <c r="B8" s="7" t="s">
        <v>198</v>
      </c>
      <c r="C8" s="7" t="s">
        <v>199</v>
      </c>
      <c r="D8" s="10" t="n">
        <v>37264.9869049599</v>
      </c>
      <c r="E8" s="14" t="n">
        <v>1.41813200171738</v>
      </c>
      <c r="F8" s="17" t="n">
        <v>0.748948178059393</v>
      </c>
      <c r="G8" s="14" t="n">
        <v>6.33482384612618</v>
      </c>
      <c r="H8" s="14" t="n">
        <v>19.7963800904977</v>
      </c>
      <c r="I8" s="7" t="s">
        <v>195</v>
      </c>
      <c r="J8" s="7" t="s">
        <v>192</v>
      </c>
    </row>
    <row r="9" customFormat="false" ht="15" hidden="false" customHeight="false" outlineLevel="0" collapsed="false">
      <c r="B9" s="7" t="s">
        <v>73</v>
      </c>
      <c r="C9" s="7" t="s">
        <v>74</v>
      </c>
      <c r="D9" s="10" t="n">
        <v>30922.0125484757</v>
      </c>
      <c r="E9" s="14" t="n">
        <v>2.65697442144176</v>
      </c>
      <c r="F9" s="17" t="n">
        <v>0.902578511153623</v>
      </c>
      <c r="G9" s="14" t="n">
        <v>6.40667226385094</v>
      </c>
      <c r="H9" s="14" t="n">
        <v>14.7534742052161</v>
      </c>
      <c r="I9" s="7" t="s">
        <v>195</v>
      </c>
      <c r="J9" s="7" t="s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Alessandro Radice</Manager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Valuation model</cp:category>
  <dc:creator>Alessandro Radice</dc:creator>
  <dc:description>Generated by the Sell-Side Valuation &amp; Pitchbook Engine</dc:description>
  <cp:keywords>M&amp;A valuation DCF LBO trading comps investment banking</cp:keywords>
  <dc:language>en-US</dc:language>
  <cp:lastModifiedBy/>
  <cp:revision>1</cp:revision>
  <dc:subject>Preliminary M&amp;A valuation: comps, precedents, WACC, DCF, LBO</dc:subject>
  <dc:title>Project Harvest: Demo Target Co. (synthetic) valuation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